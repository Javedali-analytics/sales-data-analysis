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AVED\Project\"/>
    </mc:Choice>
  </mc:AlternateContent>
  <xr:revisionPtr revIDLastSave="0" documentId="13_ncr:1_{2D13DBFA-EDF2-4CEE-ABB1-932063E9BCF4}" xr6:coauthVersionLast="47" xr6:coauthVersionMax="47" xr10:uidLastSave="{00000000-0000-0000-0000-000000000000}"/>
  <bookViews>
    <workbookView xWindow="-120" yWindow="-120" windowWidth="24240" windowHeight="13020" firstSheet="3" activeTab="3" xr2:uid="{CB303786-F541-4FFD-801E-82A523759CD5}"/>
  </bookViews>
  <sheets>
    <sheet name="Sales by Category" sheetId="4" r:id="rId1"/>
    <sheet name="Profit by Region" sheetId="10" r:id="rId2"/>
    <sheet name="Sales by Payment Method" sheetId="11" r:id="rId3"/>
    <sheet name="Dashboard" sheetId="12" r:id="rId4"/>
    <sheet name="Monthly Sales Trend" sheetId="16" r:id="rId5"/>
    <sheet name="Top 10 Products by Sales" sheetId="17" r:id="rId6"/>
    <sheet name="sales_data" sheetId="2" r:id="rId7"/>
  </sheets>
  <definedNames>
    <definedName name="_xlcn.WorksheetConnection_Book1sales_data1" hidden="1">sales_data[]</definedName>
    <definedName name="_xlcn.WorksheetConnection_sales_dataLL1" hidden="1">sales_data!$M:$M</definedName>
    <definedName name="ExternalData_1" localSheetId="6" hidden="1">sales_data!$A$1:$N$501</definedName>
  </definedNames>
  <calcPr calcId="191029"/>
  <pivotCaches>
    <pivotCache cacheId="13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_data!$L:$L"/>
          <x15:modelTable id="sales_data" name="sales_data" connection="WorksheetConnection_Book1!sales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2" i="2"/>
  <c r="Q9" i="2"/>
  <c r="Q8" i="2"/>
  <c r="Q7" i="2"/>
  <c r="Q6" i="2"/>
  <c r="Q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CBD5DE-5C38-412E-9233-3B1B916B6C04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2" xr16:uid="{A9CC1A11-9111-49F5-B5DC-74BEF294AA2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99A3929-5AD8-4866-A34F-0544158DA4E4}" name="WorksheetConnection_Book1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Book1sales_data1"/>
        </x15:connection>
      </ext>
    </extLst>
  </connection>
  <connection id="4" xr16:uid="{0748FE5A-E2A4-44B0-A558-ACF0BEEA85C0}" name="WorksheetConnection_sales_data!$L:$L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_dataLL1"/>
        </x15:connection>
      </ext>
    </extLst>
  </connection>
</connections>
</file>

<file path=xl/sharedStrings.xml><?xml version="1.0" encoding="utf-8"?>
<sst xmlns="http://schemas.openxmlformats.org/spreadsheetml/2006/main" count="3603" uniqueCount="818">
  <si>
    <t>Order_ID</t>
  </si>
  <si>
    <t>Order_Date</t>
  </si>
  <si>
    <t>Customer_ID</t>
  </si>
  <si>
    <t>Customer_Name</t>
  </si>
  <si>
    <t>Category</t>
  </si>
  <si>
    <t>Product</t>
  </si>
  <si>
    <t>Quantity</t>
  </si>
  <si>
    <t>Unit_Price</t>
  </si>
  <si>
    <t>Sales</t>
  </si>
  <si>
    <t>Discount</t>
  </si>
  <si>
    <t>Profit</t>
  </si>
  <si>
    <t>Region</t>
  </si>
  <si>
    <t>Payment_Method</t>
  </si>
  <si>
    <t>ORD-10002</t>
  </si>
  <si>
    <t>CUST-0107</t>
  </si>
  <si>
    <t>Customer 107</t>
  </si>
  <si>
    <t>Electronics</t>
  </si>
  <si>
    <t>Keyboard</t>
  </si>
  <si>
    <t>East</t>
  </si>
  <si>
    <t>Bank Transfer</t>
  </si>
  <si>
    <t>ORD-10003</t>
  </si>
  <si>
    <t>CUST-0053</t>
  </si>
  <si>
    <t>Customer 53</t>
  </si>
  <si>
    <t>Office Supplies</t>
  </si>
  <si>
    <t>Pen Set</t>
  </si>
  <si>
    <t>West</t>
  </si>
  <si>
    <t>ORD-10004</t>
  </si>
  <si>
    <t>CUST-0108</t>
  </si>
  <si>
    <t>Customer 108</t>
  </si>
  <si>
    <t>Printer Paper</t>
  </si>
  <si>
    <t>Cash</t>
  </si>
  <si>
    <t>ORD-10005</t>
  </si>
  <si>
    <t>CUST-0055</t>
  </si>
  <si>
    <t>Customer 55</t>
  </si>
  <si>
    <t>Headphones</t>
  </si>
  <si>
    <t>North</t>
  </si>
  <si>
    <t>Credit Card</t>
  </si>
  <si>
    <t>ORD-10006</t>
  </si>
  <si>
    <t>CUST-0060</t>
  </si>
  <si>
    <t>Customer 60</t>
  </si>
  <si>
    <t>Monitor</t>
  </si>
  <si>
    <t>ORD-10007</t>
  </si>
  <si>
    <t>CUST-0047</t>
  </si>
  <si>
    <t>Customer 47</t>
  </si>
  <si>
    <t>Furniture</t>
  </si>
  <si>
    <t>Table Lamp</t>
  </si>
  <si>
    <t>South</t>
  </si>
  <si>
    <t>Debit Card</t>
  </si>
  <si>
    <t>ORD-10008</t>
  </si>
  <si>
    <t>CUST-0018</t>
  </si>
  <si>
    <t>Customer 18</t>
  </si>
  <si>
    <t>Sofa</t>
  </si>
  <si>
    <t>ORD-10009</t>
  </si>
  <si>
    <t>CUST-0109</t>
  </si>
  <si>
    <t>Customer 109</t>
  </si>
  <si>
    <t>ORD-10010</t>
  </si>
  <si>
    <t>CUST-0045</t>
  </si>
  <si>
    <t>Customer 45</t>
  </si>
  <si>
    <t>Mobile Banking</t>
  </si>
  <si>
    <t>ORD-10011</t>
  </si>
  <si>
    <t>CUST-0005</t>
  </si>
  <si>
    <t>Customer 5</t>
  </si>
  <si>
    <t>ORD-10012</t>
  </si>
  <si>
    <t>CUST-0044</t>
  </si>
  <si>
    <t>Customer 44</t>
  </si>
  <si>
    <t>ORD-10013</t>
  </si>
  <si>
    <t>CUST-0014</t>
  </si>
  <si>
    <t>Customer 14</t>
  </si>
  <si>
    <t>ORD-10014</t>
  </si>
  <si>
    <t>CUST-0096</t>
  </si>
  <si>
    <t>Customer 96</t>
  </si>
  <si>
    <t>Laptop</t>
  </si>
  <si>
    <t>ORD-10015</t>
  </si>
  <si>
    <t>CUST-0086</t>
  </si>
  <si>
    <t>Customer 86</t>
  </si>
  <si>
    <t>ORD-10016</t>
  </si>
  <si>
    <t>CUST-0030</t>
  </si>
  <si>
    <t>Customer 30</t>
  </si>
  <si>
    <t>Accessories</t>
  </si>
  <si>
    <t>Phone Case</t>
  </si>
  <si>
    <t>ORD-10017</t>
  </si>
  <si>
    <t>CUST-0116</t>
  </si>
  <si>
    <t>Customer 116</t>
  </si>
  <si>
    <t>ORD-10018</t>
  </si>
  <si>
    <t>CUST-0024</t>
  </si>
  <si>
    <t>Customer 24</t>
  </si>
  <si>
    <t>ORD-10019</t>
  </si>
  <si>
    <t>CUST-0012</t>
  </si>
  <si>
    <t>Customer 12</t>
  </si>
  <si>
    <t>Smartphone</t>
  </si>
  <si>
    <t>ORD-10020</t>
  </si>
  <si>
    <t>CUST-0092</t>
  </si>
  <si>
    <t>Customer 92</t>
  </si>
  <si>
    <t>ORD-10021</t>
  </si>
  <si>
    <t>CUST-0070</t>
  </si>
  <si>
    <t>Customer 70</t>
  </si>
  <si>
    <t>Desk</t>
  </si>
  <si>
    <t>ORD-10022</t>
  </si>
  <si>
    <t>CUST-0016</t>
  </si>
  <si>
    <t>Customer 16</t>
  </si>
  <si>
    <t>ORD-10023</t>
  </si>
  <si>
    <t>CUST-0067</t>
  </si>
  <si>
    <t>Customer 67</t>
  </si>
  <si>
    <t>ORD-10024</t>
  </si>
  <si>
    <t>CUST-0031</t>
  </si>
  <si>
    <t>Customer 31</t>
  </si>
  <si>
    <t>USB Cable</t>
  </si>
  <si>
    <t>ORD-10025</t>
  </si>
  <si>
    <t>CUST-0001</t>
  </si>
  <si>
    <t>Customer 1</t>
  </si>
  <si>
    <t>Office Chair</t>
  </si>
  <si>
    <t>ORD-10026</t>
  </si>
  <si>
    <t>CUST-0054</t>
  </si>
  <si>
    <t>Customer 54</t>
  </si>
  <si>
    <t>ORD-10027</t>
  </si>
  <si>
    <t>CUST-0025</t>
  </si>
  <si>
    <t>Customer 25</t>
  </si>
  <si>
    <t>Notebook</t>
  </si>
  <si>
    <t>ORD-10028</t>
  </si>
  <si>
    <t>CUST-0033</t>
  </si>
  <si>
    <t>Customer 33</t>
  </si>
  <si>
    <t>ORD-10029</t>
  </si>
  <si>
    <t>CUST-0076</t>
  </si>
  <si>
    <t>Customer 76</t>
  </si>
  <si>
    <t>ORD-10030</t>
  </si>
  <si>
    <t>CUST-0098</t>
  </si>
  <si>
    <t>Customer 98</t>
  </si>
  <si>
    <t>Bookshelf</t>
  </si>
  <si>
    <t>ORD-10031</t>
  </si>
  <si>
    <t>CUST-0035</t>
  </si>
  <si>
    <t>Customer 35</t>
  </si>
  <si>
    <t>ORD-10032</t>
  </si>
  <si>
    <t>CUST-0037</t>
  </si>
  <si>
    <t>Customer 37</t>
  </si>
  <si>
    <t>ORD-10033</t>
  </si>
  <si>
    <t>ORD-10034</t>
  </si>
  <si>
    <t>CUST-0027</t>
  </si>
  <si>
    <t>Customer 27</t>
  </si>
  <si>
    <t>ORD-10035</t>
  </si>
  <si>
    <t>CUST-0050</t>
  </si>
  <si>
    <t>Customer 50</t>
  </si>
  <si>
    <t>ORD-10036</t>
  </si>
  <si>
    <t>ORD-10037</t>
  </si>
  <si>
    <t>CUST-0058</t>
  </si>
  <si>
    <t>Customer 58</t>
  </si>
  <si>
    <t>ORD-10038</t>
  </si>
  <si>
    <t>ORD-10039</t>
  </si>
  <si>
    <t>CUST-0040</t>
  </si>
  <si>
    <t>Customer 40</t>
  </si>
  <si>
    <t>ORD-10040</t>
  </si>
  <si>
    <t>ORD-10041</t>
  </si>
  <si>
    <t>ORD-10042</t>
  </si>
  <si>
    <t>CUST-0063</t>
  </si>
  <si>
    <t>Customer 63</t>
  </si>
  <si>
    <t>ORD-10043</t>
  </si>
  <si>
    <t>CUST-0078</t>
  </si>
  <si>
    <t>Customer 78</t>
  </si>
  <si>
    <t>ORD-10044</t>
  </si>
  <si>
    <t>CUST-0039</t>
  </si>
  <si>
    <t>Customer 39</t>
  </si>
  <si>
    <t>ORD-10045</t>
  </si>
  <si>
    <t>CUST-0010</t>
  </si>
  <si>
    <t>Customer 10</t>
  </si>
  <si>
    <t>ORD-10046</t>
  </si>
  <si>
    <t>CUST-0091</t>
  </si>
  <si>
    <t>Customer 91</t>
  </si>
  <si>
    <t>ORD-10047</t>
  </si>
  <si>
    <t>ORD-10048</t>
  </si>
  <si>
    <t>CUST-0115</t>
  </si>
  <si>
    <t>Customer 115</t>
  </si>
  <si>
    <t>ORD-10049</t>
  </si>
  <si>
    <t>CUST-0105</t>
  </si>
  <si>
    <t>Customer 105</t>
  </si>
  <si>
    <t>ORD-10050</t>
  </si>
  <si>
    <t>CUST-0036</t>
  </si>
  <si>
    <t>Customer 36</t>
  </si>
  <si>
    <t>ORD-10051</t>
  </si>
  <si>
    <t>CUST-0113</t>
  </si>
  <si>
    <t>Customer 113</t>
  </si>
  <si>
    <t>ORD-10052</t>
  </si>
  <si>
    <t>CUST-0013</t>
  </si>
  <si>
    <t>Customer 13</t>
  </si>
  <si>
    <t>ORD-10053</t>
  </si>
  <si>
    <t>CUST-0095</t>
  </si>
  <si>
    <t>Customer 95</t>
  </si>
  <si>
    <t>ORD-10054</t>
  </si>
  <si>
    <t>CUST-0023</t>
  </si>
  <si>
    <t>Customer 23</t>
  </si>
  <si>
    <t>ORD-10055</t>
  </si>
  <si>
    <t>CUST-0075</t>
  </si>
  <si>
    <t>Customer 75</t>
  </si>
  <si>
    <t>ORD-10056</t>
  </si>
  <si>
    <t>CUST-0042</t>
  </si>
  <si>
    <t>Customer 42</t>
  </si>
  <si>
    <t>Webcam</t>
  </si>
  <si>
    <t>ORD-10057</t>
  </si>
  <si>
    <t>File Folder</t>
  </si>
  <si>
    <t>ORD-10058</t>
  </si>
  <si>
    <t>ORD-10059</t>
  </si>
  <si>
    <t>ORD-10060</t>
  </si>
  <si>
    <t>ORD-10061</t>
  </si>
  <si>
    <t>CUST-0021</t>
  </si>
  <si>
    <t>Customer 21</t>
  </si>
  <si>
    <t>ORD-10062</t>
  </si>
  <si>
    <t>ORD-10063</t>
  </si>
  <si>
    <t>Mouse</t>
  </si>
  <si>
    <t>ORD-10064</t>
  </si>
  <si>
    <t>ORD-10065</t>
  </si>
  <si>
    <t>CUST-0077</t>
  </si>
  <si>
    <t>Customer 77</t>
  </si>
  <si>
    <t>ORD-10066</t>
  </si>
  <si>
    <t>ORD-10067</t>
  </si>
  <si>
    <t>CUST-0111</t>
  </si>
  <si>
    <t>Customer 111</t>
  </si>
  <si>
    <t>ORD-10068</t>
  </si>
  <si>
    <t>ORD-10069</t>
  </si>
  <si>
    <t>CUST-0003</t>
  </si>
  <si>
    <t>Customer 3</t>
  </si>
  <si>
    <t>ORD-10070</t>
  </si>
  <si>
    <t>CUST-0051</t>
  </si>
  <si>
    <t>Customer 51</t>
  </si>
  <si>
    <t>ORD-10071</t>
  </si>
  <si>
    <t>CUST-0034</t>
  </si>
  <si>
    <t>Customer 34</t>
  </si>
  <si>
    <t>ORD-10072</t>
  </si>
  <si>
    <t>CUST-0017</t>
  </si>
  <si>
    <t>Customer 17</t>
  </si>
  <si>
    <t>ORD-10073</t>
  </si>
  <si>
    <t>CUST-0038</t>
  </si>
  <si>
    <t>Customer 38</t>
  </si>
  <si>
    <t>ORD-10074</t>
  </si>
  <si>
    <t>ORD-10075</t>
  </si>
  <si>
    <t>CUST-0088</t>
  </si>
  <si>
    <t>Customer 88</t>
  </si>
  <si>
    <t>ORD-10076</t>
  </si>
  <si>
    <t>ORD-10077</t>
  </si>
  <si>
    <t>ORD-10078</t>
  </si>
  <si>
    <t>CUST-0061</t>
  </si>
  <si>
    <t>Customer 61</t>
  </si>
  <si>
    <t>ORD-10079</t>
  </si>
  <si>
    <t>ORD-10080</t>
  </si>
  <si>
    <t>CUST-0026</t>
  </si>
  <si>
    <t>Customer 26</t>
  </si>
  <si>
    <t>ORD-10081</t>
  </si>
  <si>
    <t>ORD-10082</t>
  </si>
  <si>
    <t>ORD-10083</t>
  </si>
  <si>
    <t>ORD-10084</t>
  </si>
  <si>
    <t>ORD-10085</t>
  </si>
  <si>
    <t>CUST-0006</t>
  </si>
  <si>
    <t>Customer 6</t>
  </si>
  <si>
    <t>ORD-10086</t>
  </si>
  <si>
    <t>ORD-10087</t>
  </si>
  <si>
    <t>ORD-10088</t>
  </si>
  <si>
    <t>CUST-0120</t>
  </si>
  <si>
    <t>Customer 120</t>
  </si>
  <si>
    <t>Backpack</t>
  </si>
  <si>
    <t>ORD-10089</t>
  </si>
  <si>
    <t>ORD-10090</t>
  </si>
  <si>
    <t>CUST-0064</t>
  </si>
  <si>
    <t>Customer 64</t>
  </si>
  <si>
    <t>ORD-10091</t>
  </si>
  <si>
    <t>ORD-10092</t>
  </si>
  <si>
    <t>CUST-0009</t>
  </si>
  <si>
    <t>Customer 9</t>
  </si>
  <si>
    <t>ORD-10093</t>
  </si>
  <si>
    <t>ORD-10094</t>
  </si>
  <si>
    <t>CUST-0093</t>
  </si>
  <si>
    <t>Customer 93</t>
  </si>
  <si>
    <t>ORD-10095</t>
  </si>
  <si>
    <t>ORD-10096</t>
  </si>
  <si>
    <t>ORD-10097</t>
  </si>
  <si>
    <t>ORD-10098</t>
  </si>
  <si>
    <t>ORD-10099</t>
  </si>
  <si>
    <t>CUST-0068</t>
  </si>
  <si>
    <t>Customer 68</t>
  </si>
  <si>
    <t>ORD-10100</t>
  </si>
  <si>
    <t>ORD-10101</t>
  </si>
  <si>
    <t>ORD-10102</t>
  </si>
  <si>
    <t>ORD-10103</t>
  </si>
  <si>
    <t>CUST-0112</t>
  </si>
  <si>
    <t>Customer 112</t>
  </si>
  <si>
    <t>Stapler</t>
  </si>
  <si>
    <t>ORD-10104</t>
  </si>
  <si>
    <t>CUST-0029</t>
  </si>
  <si>
    <t>Customer 29</t>
  </si>
  <si>
    <t>ORD-10105</t>
  </si>
  <si>
    <t>CUST-0087</t>
  </si>
  <si>
    <t>Customer 87</t>
  </si>
  <si>
    <t>ORD-10106</t>
  </si>
  <si>
    <t>CUST-0074</t>
  </si>
  <si>
    <t>Customer 74</t>
  </si>
  <si>
    <t>ORD-10107</t>
  </si>
  <si>
    <t>ORD-10108</t>
  </si>
  <si>
    <t>ORD-10109</t>
  </si>
  <si>
    <t>CUST-0071</t>
  </si>
  <si>
    <t>Customer 71</t>
  </si>
  <si>
    <t>ORD-10110</t>
  </si>
  <si>
    <t>ORD-10111</t>
  </si>
  <si>
    <t>ORD-10112</t>
  </si>
  <si>
    <t>CUST-0004</t>
  </si>
  <si>
    <t>Customer 4</t>
  </si>
  <si>
    <t>ORD-10113</t>
  </si>
  <si>
    <t>ORD-10114</t>
  </si>
  <si>
    <t>CUST-0072</t>
  </si>
  <si>
    <t>Customer 72</t>
  </si>
  <si>
    <t>ORD-10115</t>
  </si>
  <si>
    <t>ORD-10116</t>
  </si>
  <si>
    <t>CUST-0019</t>
  </si>
  <si>
    <t>Customer 19</t>
  </si>
  <si>
    <t>ORD-10117</t>
  </si>
  <si>
    <t>ORD-10118</t>
  </si>
  <si>
    <t>ORD-10119</t>
  </si>
  <si>
    <t>CUST-0081</t>
  </si>
  <si>
    <t>Customer 81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</si>
  <si>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</si>
  <si>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</si>
  <si>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</si>
  <si>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</si>
  <si>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</si>
  <si>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</si>
  <si>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</si>
  <si>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</si>
  <si>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</si>
  <si>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CUST-0059</t>
  </si>
  <si>
    <t>Customer 59</t>
  </si>
  <si>
    <t>ORD-10129</t>
  </si>
  <si>
    <t>ORD-10130</t>
  </si>
  <si>
    <t>ORD-10131</t>
  </si>
  <si>
    <t>CUST-0007</t>
  </si>
  <si>
    <t>Customer 7</t>
  </si>
  <si>
    <t>ORD-10132</t>
  </si>
  <si>
    <t>ORD-10133</t>
  </si>
  <si>
    <t>ORD-10134</t>
  </si>
  <si>
    <t>ORD-10135</t>
  </si>
  <si>
    <t>ORD-10136</t>
  </si>
  <si>
    <t>CUST-0062</t>
  </si>
  <si>
    <t>Customer 62</t>
  </si>
  <si>
    <t>ORD-10137</t>
  </si>
  <si>
    <t>CUST-0084</t>
  </si>
  <si>
    <t>Customer 84</t>
  </si>
  <si>
    <t>ORD-10138</t>
  </si>
  <si>
    <t>CUST-0048</t>
  </si>
  <si>
    <t>Customer 48</t>
  </si>
  <si>
    <t>ORD-10139</t>
  </si>
  <si>
    <t>ORD-10140</t>
  </si>
  <si>
    <t>ORD-10141</t>
  </si>
  <si>
    <t>ORD-10142</t>
  </si>
  <si>
    <t>CUST-0099</t>
  </si>
  <si>
    <t>Customer 99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</si>
  <si>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</si>
  <si>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</si>
  <si>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</si>
  <si>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</si>
  <si>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</si>
  <si>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</si>
  <si>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</si>
  <si>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</si>
  <si>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</si>
  <si>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</si>
  <si>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</si>
  <si>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</si>
  <si>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</si>
  <si>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</si>
  <si>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</si>
  <si>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</si>
  <si>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</si>
  <si>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</si>
  <si>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CUST-0079</t>
  </si>
  <si>
    <t>Customer 79</t>
  </si>
  <si>
    <t>ORD-10161</t>
  </si>
  <si>
    <t>CUST-0015</t>
  </si>
  <si>
    <t>Customer 15</t>
  </si>
  <si>
    <t>ORD-10162</t>
  </si>
  <si>
    <t>ORD-10163</t>
  </si>
  <si>
    <t>CUST-0094</t>
  </si>
  <si>
    <t>Customer 94</t>
  </si>
  <si>
    <t>ORD-10164</t>
  </si>
  <si>
    <t>ORD-10165</t>
  </si>
  <si>
    <t>CUST-0097</t>
  </si>
  <si>
    <t>Customer 97</t>
  </si>
  <si>
    <t>ORD-10166</t>
  </si>
  <si>
    <t>CUST-0103</t>
  </si>
  <si>
    <t>Customer 103</t>
  </si>
  <si>
    <t>ORD-10167</t>
  </si>
  <si>
    <t>ORD-10168</t>
  </si>
  <si>
    <t>ORD-10169</t>
  </si>
  <si>
    <t>CUST-0041</t>
  </si>
  <si>
    <t>Customer 41</t>
  </si>
  <si>
    <t>ORD-10170</t>
  </si>
  <si>
    <t>ORD-10171</t>
  </si>
  <si>
    <t>CUST-0022</t>
  </si>
  <si>
    <t>Customer 22</t>
  </si>
  <si>
    <t>ORD-10172</t>
  </si>
  <si>
    <t>ORD-10173</t>
  </si>
  <si>
    <t>CUST-0020</t>
  </si>
  <si>
    <t>Customer 20</t>
  </si>
  <si>
    <t>ORD-10174</t>
  </si>
  <si>
    <t>ORD-10175</t>
  </si>
  <si>
    <t>ORD-10176</t>
  </si>
  <si>
    <t>CUST-0069</t>
  </si>
  <si>
    <t>Customer 69</t>
  </si>
  <si>
    <t>ORD-10177</t>
  </si>
  <si>
    <t>CUST-0028</t>
  </si>
  <si>
    <t>Customer 28</t>
  </si>
  <si>
    <t>ORD-10178</t>
  </si>
  <si>
    <t>ORD-10179</t>
  </si>
  <si>
    <t>CUST-0043</t>
  </si>
  <si>
    <t>Customer 43</t>
  </si>
  <si>
    <t>ORD-10180</t>
  </si>
  <si>
    <t>ORD-10181</t>
  </si>
  <si>
    <t>CUST-0002</t>
  </si>
  <si>
    <t>Customer 2</t>
  </si>
  <si>
    <t>ORD-10182</t>
  </si>
  <si>
    <t>ORD-10183</t>
  </si>
  <si>
    <t>ORD-10184</t>
  </si>
  <si>
    <t>ORD-10185</t>
  </si>
  <si>
    <t>ORD-10186</t>
  </si>
  <si>
    <t>CUST-0082</t>
  </si>
  <si>
    <t>Customer 82</t>
  </si>
  <si>
    <t>ORD-10187</t>
  </si>
  <si>
    <t>ORD-10188</t>
  </si>
  <si>
    <t>ORD-10189</t>
  </si>
  <si>
    <t>CUST-0110</t>
  </si>
  <si>
    <t>Customer 110</t>
  </si>
  <si>
    <t>ORD-10190</t>
  </si>
  <si>
    <t>ORD-10191</t>
  </si>
  <si>
    <t>ORD-10192</t>
  </si>
  <si>
    <t>CUST-0085</t>
  </si>
  <si>
    <t>Customer 85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</si>
  <si>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</si>
  <si>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</si>
  <si>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</si>
  <si>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</si>
  <si>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</si>
  <si>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</si>
  <si>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</si>
  <si>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</si>
  <si>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</si>
  <si>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</si>
  <si>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CUST-0119</t>
  </si>
  <si>
    <t>Customer 119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</si>
  <si>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</si>
  <si>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</si>
  <si>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</si>
  <si>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</si>
  <si>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</si>
  <si>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</si>
  <si>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</si>
  <si>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</si>
  <si>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CUST-0118</t>
  </si>
  <si>
    <t>Customer 118</t>
  </si>
  <si>
    <t>ORD-10211</t>
  </si>
  <si>
    <t>CUST-0032</t>
  </si>
  <si>
    <t>Customer 32</t>
  </si>
  <si>
    <t>ORD-10212</t>
  </si>
  <si>
    <t>CUST-0066</t>
  </si>
  <si>
    <t>Customer 66</t>
  </si>
  <si>
    <t>ORD-10213</t>
  </si>
  <si>
    <t>ORD-10214</t>
  </si>
  <si>
    <t>CUST-0049</t>
  </si>
  <si>
    <t>Customer 49</t>
  </si>
  <si>
    <t>ORD-10215</t>
  </si>
  <si>
    <t>CUST-0073</t>
  </si>
  <si>
    <t>Customer 73</t>
  </si>
  <si>
    <t>ORD-10216</t>
  </si>
  <si>
    <t>ORD-10217</t>
  </si>
  <si>
    <t>ORD-10218</t>
  </si>
  <si>
    <t>ORD-10219</t>
  </si>
  <si>
    <t>ORD-10220</t>
  </si>
  <si>
    <t>ORD-10221</t>
  </si>
  <si>
    <t>CUST-0080</t>
  </si>
  <si>
    <t>Customer 80</t>
  </si>
  <si>
    <t>ORD-10222</t>
  </si>
  <si>
    <t>ORD-10223</t>
  </si>
  <si>
    <t>ORD-10224</t>
  </si>
  <si>
    <t>CUST-0102</t>
  </si>
  <si>
    <t>Customer 102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</si>
  <si>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</si>
  <si>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</si>
  <si>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</si>
  <si>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</si>
  <si>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</si>
  <si>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</si>
  <si>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</si>
  <si>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</si>
  <si>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</si>
  <si>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</si>
  <si>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</si>
  <si>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</si>
  <si>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CUST-0089</t>
  </si>
  <si>
    <t>Customer 89</t>
  </si>
  <si>
    <t>ORD-10237</t>
  </si>
  <si>
    <t>ORD-10238</t>
  </si>
  <si>
    <t>CUST-0008</t>
  </si>
  <si>
    <t>Customer 8</t>
  </si>
  <si>
    <t>ORD-10239</t>
  </si>
  <si>
    <t>ORD-10240</t>
  </si>
  <si>
    <t>ORD-10241</t>
  </si>
  <si>
    <t>CUST-0101</t>
  </si>
  <si>
    <t>Customer 101</t>
  </si>
  <si>
    <t>ORD-10242</t>
  </si>
  <si>
    <t>ORD-10243</t>
  </si>
  <si>
    <t>ORD-10244</t>
  </si>
  <si>
    <t>ORD-10245</t>
  </si>
  <si>
    <t>ORD-10246</t>
  </si>
  <si>
    <t>CUST-0057</t>
  </si>
  <si>
    <t>Customer 57</t>
  </si>
  <si>
    <t>ORD-10247</t>
  </si>
  <si>
    <t>ORD-10248</t>
  </si>
  <si>
    <t>ORD-10249</t>
  </si>
  <si>
    <t>CUST-0100</t>
  </si>
  <si>
    <t>Customer 100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</si>
  <si>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</si>
  <si>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</si>
  <si>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</si>
  <si>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</si>
  <si>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</si>
  <si>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</si>
  <si>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</si>
  <si>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</si>
  <si>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</si>
  <si>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</si>
  <si>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</si>
  <si>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</si>
  <si>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</si>
  <si>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</si>
  <si>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</si>
  <si>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</si>
  <si>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</si>
  <si>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</si>
  <si>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</si>
  <si>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</si>
  <si>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</si>
  <si>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</si>
  <si>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</si>
  <si>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</si>
  <si>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</si>
  <si>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</si>
  <si>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</si>
  <si>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</si>
  <si>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</si>
  <si>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</si>
  <si>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</si>
  <si>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</si>
  <si>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</si>
  <si>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</si>
  <si>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</si>
  <si>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</si>
  <si>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</si>
  <si>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</si>
  <si>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CUST-0011</t>
  </si>
  <si>
    <t>Customer 11</t>
  </si>
  <si>
    <t>ORD-10288</t>
  </si>
  <si>
    <t>ORD-10289</t>
  </si>
  <si>
    <t>CUST-0046</t>
  </si>
  <si>
    <t>Customer 46</t>
  </si>
  <si>
    <t>ORD-10290</t>
  </si>
  <si>
    <t>ORD-10291</t>
  </si>
  <si>
    <t>ORD-10292</t>
  </si>
  <si>
    <t>ORD-10293</t>
  </si>
  <si>
    <t>ORD-10294</t>
  </si>
  <si>
    <t>CUST-0090</t>
  </si>
  <si>
    <t>Customer 90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</si>
  <si>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</si>
  <si>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</si>
  <si>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</si>
  <si>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</si>
  <si>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</si>
  <si>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</si>
  <si>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</si>
  <si>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</si>
  <si>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CUST-0065</t>
  </si>
  <si>
    <t>Customer 65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</si>
  <si>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</si>
  <si>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</si>
  <si>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</si>
  <si>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</si>
  <si>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</si>
  <si>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</si>
  <si>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</si>
  <si>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</si>
  <si>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</si>
  <si>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</si>
  <si>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</si>
  <si>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</si>
  <si>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</si>
  <si>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</si>
  <si>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</si>
  <si>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</si>
  <si>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</si>
  <si>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</si>
  <si>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</si>
  <si>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</si>
  <si>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</si>
  <si>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</si>
  <si>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</si>
  <si>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</si>
  <si>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</si>
  <si>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</si>
  <si>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</si>
  <si>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</si>
  <si>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</si>
  <si>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</si>
  <si>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</si>
  <si>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</si>
  <si>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</si>
  <si>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</si>
  <si>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</si>
  <si>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</si>
  <si>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</si>
  <si>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</si>
  <si>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</si>
  <si>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</si>
  <si>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</si>
  <si>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</si>
  <si>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</si>
  <si>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</si>
  <si>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</si>
  <si>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</si>
  <si>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</si>
  <si>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</si>
  <si>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</si>
  <si>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CUST-0083</t>
  </si>
  <si>
    <t>Customer 83</t>
  </si>
  <si>
    <t>ORD-10352</t>
  </si>
  <si>
    <t>ORD-10353</t>
  </si>
  <si>
    <t>CUST-0114</t>
  </si>
  <si>
    <t>Customer 114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</si>
  <si>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</si>
  <si>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</si>
  <si>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</si>
  <si>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</si>
  <si>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</si>
  <si>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</si>
  <si>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</si>
  <si>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</si>
  <si>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</si>
  <si>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</si>
  <si>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</si>
  <si>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</si>
  <si>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</si>
  <si>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</si>
  <si>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</si>
  <si>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CUST-0106</t>
  </si>
  <si>
    <t>Customer 106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</si>
  <si>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</si>
  <si>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</si>
  <si>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</si>
  <si>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</si>
  <si>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</si>
  <si>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</si>
  <si>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</si>
  <si>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</si>
  <si>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</si>
  <si>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</si>
  <si>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</si>
  <si>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</si>
  <si>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</si>
  <si>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</si>
  <si>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</si>
  <si>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</si>
  <si>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</si>
  <si>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</si>
  <si>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</si>
  <si>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</si>
  <si>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</si>
  <si>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</si>
  <si>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</si>
  <si>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</si>
  <si>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</si>
  <si>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</si>
  <si>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</si>
  <si>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</si>
  <si>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</si>
  <si>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</si>
  <si>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</si>
  <si>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</si>
  <si>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</si>
  <si>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</si>
  <si>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CUST-0056</t>
  </si>
  <si>
    <t>Customer 56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</si>
  <si>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</si>
  <si>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</si>
  <si>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</si>
  <si>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</si>
  <si>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</si>
  <si>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</si>
  <si>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</si>
  <si>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</si>
  <si>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</si>
  <si>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</si>
  <si>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</si>
  <si>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</si>
  <si>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</si>
  <si>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</si>
  <si>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</si>
  <si>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</si>
  <si>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</si>
  <si>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</si>
  <si>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</si>
  <si>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</si>
  <si>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</si>
  <si>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</si>
  <si>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</si>
  <si>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</si>
  <si>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</si>
  <si>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</si>
  <si>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</si>
  <si>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</si>
  <si>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</si>
  <si>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</si>
  <si>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</si>
  <si>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</si>
  <si>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</si>
  <si>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</si>
  <si>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CUST-0117</t>
  </si>
  <si>
    <t>Customer 117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</si>
  <si>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</si>
  <si>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</si>
  <si>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</si>
  <si>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</si>
  <si>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</si>
  <si>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</si>
  <si>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</si>
  <si>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</si>
  <si>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</si>
  <si>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</si>
  <si>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</si>
  <si>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</si>
  <si>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</si>
  <si>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</si>
  <si>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</si>
  <si>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</si>
  <si>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</si>
  <si>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</si>
  <si>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</si>
  <si>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</si>
  <si>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</si>
  <si>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</si>
  <si>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</si>
  <si>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</si>
  <si>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</si>
  <si>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</si>
  <si>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</si>
  <si>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</si>
  <si>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</si>
  <si>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</si>
  <si>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</si>
  <si>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</si>
  <si>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</si>
  <si>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</si>
  <si>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</si>
  <si>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</si>
  <si>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</si>
  <si>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</si>
  <si>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</si>
  <si>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</si>
  <si>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</si>
  <si>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</si>
  <si>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</si>
  <si>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</si>
  <si>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</si>
  <si>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</si>
  <si>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CUST-0052</t>
  </si>
  <si>
    <t>Customer 52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</si>
  <si>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</si>
  <si>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</si>
  <si>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</si>
  <si>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</si>
  <si>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</si>
  <si>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</si>
  <si>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</si>
  <si>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</si>
  <si>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</si>
  <si>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</si>
  <si>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CUST-0104</t>
  </si>
  <si>
    <t>Customer 104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</si>
  <si>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</si>
  <si>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</si>
  <si>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</si>
  <si>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</si>
  <si>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</si>
  <si>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</si>
  <si>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</si>
  <si>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</si>
  <si>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</si>
  <si>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Total Sales:</t>
  </si>
  <si>
    <t xml:space="preserve">Total Profit: </t>
  </si>
  <si>
    <t xml:space="preserve">Total Quantity: </t>
  </si>
  <si>
    <t xml:space="preserve">Average Order Value: </t>
  </si>
  <si>
    <t>Average Profit:</t>
  </si>
  <si>
    <t>Sum of Profit</t>
  </si>
  <si>
    <t>Grand Total</t>
  </si>
  <si>
    <t>Sum of Sales</t>
  </si>
  <si>
    <t>Total Sales</t>
  </si>
  <si>
    <t>Total Profit:</t>
  </si>
  <si>
    <t>Total Quantity</t>
  </si>
  <si>
    <t>Average Order Value</t>
  </si>
  <si>
    <t>SALES ANALYTICS DASHBOARD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</si>
  <si>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</si>
  <si>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</si>
  <si>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</si>
  <si>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</si>
  <si>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</si>
  <si>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</si>
  <si>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</si>
  <si>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</si>
  <si>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</si>
  <si>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</si>
  <si>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</si>
  <si>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</si>
  <si>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</si>
  <si>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Monthly Sales Analysis</t>
  </si>
  <si>
    <t>Top 10 Products by Sales</t>
  </si>
  <si>
    <t>Profit_Margin</t>
  </si>
  <si>
    <t>Average Profit_Margin:</t>
  </si>
  <si>
    <t>Month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</si>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</sst>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2" fillId="7" borderId="2" xfId="0" applyFont="1" applyFill="1" applyBorder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0" fontId="0" fillId="0" borderId="0" xfId="0" applyNumberFormat="1"/>
    <xf numFmtId="169" fontId="0" fillId="0" borderId="0" xfId="1" applyNumberFormat="1" applyFont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[project1.xlsx]Sales by Category!PivotTable3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31644.410000000007</c:v>
                </c:pt>
                <c:pt idx="1">
                  <c:v>485235.31999999995</c:v>
                </c:pt>
                <c:pt idx="2">
                  <c:v>121428.73000000001</c:v>
                </c:pt>
                <c:pt idx="3">
                  <c:v>15559.620000000006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C-4403-929E-90E359853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0191"/>
        <c:axId val="1884020336"/>
      </c:barChart>
      <c:catAx>
        <c:axId val="690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20336"/>
        <c:crosses val="autoZero"/>
        <c:auto val="1"/>
        <c:lblAlgn val="ctr"/>
        <c:lblOffset val="100"/>
        <c:noMultiLvlLbl val="0"/>
      </c:catAx>
      <c:valAx>
        <c:axId val="18840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[project1.xlsx]Profit by Region!PivotTable10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39941.85</c:v>
                </c:pt>
                <c:pt idx="1">
                  <c:v>40112.86</c:v>
                </c:pt>
                <c:pt idx="2">
                  <c:v>31243.35</c:v>
                </c:pt>
                <c:pt idx="3">
                  <c:v>37490.589999999997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5-45AA-A0E8-154D3BD40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90447"/>
        <c:axId val="1883978096"/>
      </c:barChart>
      <c:catAx>
        <c:axId val="6890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78096"/>
        <c:crosses val="autoZero"/>
        <c:auto val="1"/>
        <c:lblAlgn val="ctr"/>
        <c:lblOffset val="100"/>
        <c:noMultiLvlLbl val="0"/>
      </c:catAx>
      <c:valAx>
        <c:axId val="188397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[project1.xlsx]Sales by Payment Method!PivotTable11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Payment Method'!$A$4:$A$9</c:f>
              <c:strCache>
                <c:ptCount val="5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Mobile Banking</c:v>
                </c:pt>
              </c:strCache>
            </c:strRef>
          </c:cat>
          <c:val>
            <c:numRef>
              <c:f>'Sales by Payment Method'!$B$4:$B$9</c:f>
              <c:numCache>
                <c:formatCode>General</c:formatCode>
                <c:ptCount val="5"/>
                <c:pt idx="0">
                  <c:v>127581.86</c:v>
                </c:pt>
                <c:pt idx="1">
                  <c:v>131959.32999999999</c:v>
                </c:pt>
                <c:pt idx="2">
                  <c:v>158807.46</c:v>
                </c:pt>
                <c:pt idx="3">
                  <c:v>130608.46</c:v>
                </c:pt>
                <c:pt idx="4">
                  <c:v>104910.97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7-49E7-BB51-70A18CC0F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276736"/>
        <c:axId val="1884056816"/>
      </c:barChart>
      <c:catAx>
        <c:axId val="193527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56816"/>
        <c:crosses val="autoZero"/>
        <c:auto val="1"/>
        <c:lblAlgn val="ctr"/>
        <c:lblOffset val="100"/>
        <c:noMultiLvlLbl val="0"/>
      </c:catAx>
      <c:valAx>
        <c:axId val="18840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27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[project1.xlsx]Sales by Category!PivotTable3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31644.410000000007</c:v>
                </c:pt>
                <c:pt idx="1">
                  <c:v>485235.31999999995</c:v>
                </c:pt>
                <c:pt idx="2">
                  <c:v>121428.73000000001</c:v>
                </c:pt>
                <c:pt idx="3">
                  <c:v>15559.620000000006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B-453F-ABAF-574C695C0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0191"/>
        <c:axId val="1884020336"/>
      </c:barChart>
      <c:catAx>
        <c:axId val="690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20336"/>
        <c:crosses val="autoZero"/>
        <c:auto val="1"/>
        <c:lblAlgn val="ctr"/>
        <c:lblOffset val="100"/>
        <c:noMultiLvlLbl val="0"/>
      </c:catAx>
      <c:valAx>
        <c:axId val="18840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[project1.xlsx]Profit by Region!PivotTable10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Region</a:t>
            </a:r>
            <a:endParaRPr lang="en-US"/>
          </a:p>
        </c:rich>
      </c:tx>
      <c:layout>
        <c:manualLayout>
          <c:xMode val="edge"/>
          <c:yMode val="edge"/>
          <c:x val="0.25830758800420434"/>
          <c:y val="3.4782608695652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39941.85</c:v>
                </c:pt>
                <c:pt idx="1">
                  <c:v>40112.86</c:v>
                </c:pt>
                <c:pt idx="2">
                  <c:v>31243.35</c:v>
                </c:pt>
                <c:pt idx="3">
                  <c:v>37490.589999999997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3EB-A6EC-1B2D782DB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4"/>
        <c:axId val="6890447"/>
        <c:axId val="1883978096"/>
      </c:barChart>
      <c:catAx>
        <c:axId val="6890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78096"/>
        <c:crosses val="autoZero"/>
        <c:auto val="1"/>
        <c:lblAlgn val="ctr"/>
        <c:lblOffset val="100"/>
        <c:noMultiLvlLbl val="0"/>
      </c:catAx>
      <c:valAx>
        <c:axId val="188397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</a:t>
                </a:r>
                <a:r>
                  <a:rPr lang="en-US" baseline="0"/>
                  <a:t> Profit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[project1.xlsx]Sales by Payment Method!PivotTable11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Payment Method</a:t>
            </a:r>
            <a:endParaRPr lang="en-US"/>
          </a:p>
        </c:rich>
      </c:tx>
      <c:layout>
        <c:manualLayout>
          <c:xMode val="edge"/>
          <c:yMode val="edge"/>
          <c:x val="0.1941732283464567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Payment Method'!$A$4:$A$9</c:f>
              <c:strCache>
                <c:ptCount val="5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Mobile Banking</c:v>
                </c:pt>
              </c:strCache>
            </c:strRef>
          </c:cat>
          <c:val>
            <c:numRef>
              <c:f>'Sales by Payment Method'!$B$4:$B$9</c:f>
              <c:numCache>
                <c:formatCode>General</c:formatCode>
                <c:ptCount val="5"/>
                <c:pt idx="0">
                  <c:v>127581.86</c:v>
                </c:pt>
                <c:pt idx="1">
                  <c:v>131959.32999999999</c:v>
                </c:pt>
                <c:pt idx="2">
                  <c:v>158807.46</c:v>
                </c:pt>
                <c:pt idx="3">
                  <c:v>130608.46</c:v>
                </c:pt>
                <c:pt idx="4">
                  <c:v>104910.97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67C-9470-D68F09F92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276736"/>
        <c:axId val="1884056816"/>
      </c:barChart>
      <c:catAx>
        <c:axId val="193527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Mathod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56816"/>
        <c:crosses val="autoZero"/>
        <c:auto val="1"/>
        <c:lblAlgn val="ctr"/>
        <c:lblOffset val="100"/>
        <c:noMultiLvlLbl val="0"/>
      </c:catAx>
      <c:valAx>
        <c:axId val="18840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27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[project1.xlsx]Monthly Sales Trend!PivotTable3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'Monthly Sales Trend'!$B$4:$B$17</c:f>
              <c:numCache>
                <c:formatCode>General</c:formatCode>
                <c:ptCount val="12"/>
                <c:pt idx="0">
                  <c:v>66887.430000000008</c:v>
                </c:pt>
                <c:pt idx="1">
                  <c:v>55068.919999999991</c:v>
                </c:pt>
                <c:pt idx="2">
                  <c:v>29947.83</c:v>
                </c:pt>
                <c:pt idx="3">
                  <c:v>70445.75</c:v>
                </c:pt>
                <c:pt idx="4">
                  <c:v>40302.82</c:v>
                </c:pt>
                <c:pt idx="5">
                  <c:v>33286.300000000003</c:v>
                </c:pt>
                <c:pt idx="6">
                  <c:v>66719.639999999985</c:v>
                </c:pt>
                <c:pt idx="7">
                  <c:v>63189.219999999987</c:v>
                </c:pt>
                <c:pt idx="8">
                  <c:v>79740.980000000025</c:v>
                </c:pt>
                <c:pt idx="9">
                  <c:v>43842.09</c:v>
                </c:pt>
                <c:pt idx="10">
                  <c:v>41542.699999999997</c:v>
                </c:pt>
                <c:pt idx="11">
                  <c:v>62894.399999999994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E-4D16-9545-A618F84087D0}"/>
            </c:ext>
          </c:extLst>
        </c:ser>
        <c:ser>
          <c:idx val="1"/>
          <c:order val="1"/>
          <c:tx>
            <c:strRef>
              <c:f>'Monthly Sales Trend'!$C$3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multiLvlStrRef>
              <c:f>'Monthly Sales Trend'!$A$4:$A$17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'Monthly Sales Trend'!$C$4:$C$17</c:f>
              <c:numCache>
                <c:formatCode>General</c:formatCode>
                <c:ptCount val="12"/>
                <c:pt idx="0">
                  <c:v>14901.35</c:v>
                </c:pt>
                <c:pt idx="1">
                  <c:v>12273.090000000004</c:v>
                </c:pt>
                <c:pt idx="2">
                  <c:v>7340.300000000002</c:v>
                </c:pt>
                <c:pt idx="3">
                  <c:v>15465.519999999995</c:v>
                </c:pt>
                <c:pt idx="4">
                  <c:v>9341.1200000000008</c:v>
                </c:pt>
                <c:pt idx="5">
                  <c:v>7764.18</c:v>
                </c:pt>
                <c:pt idx="6">
                  <c:v>15418.42</c:v>
                </c:pt>
                <c:pt idx="7">
                  <c:v>13878.88</c:v>
                </c:pt>
                <c:pt idx="8">
                  <c:v>18240.990000000002</c:v>
                </c:pt>
                <c:pt idx="9">
                  <c:v>9828.5</c:v>
                </c:pt>
                <c:pt idx="10">
                  <c:v>9815.8500000000022</c:v>
                </c:pt>
                <c:pt idx="11">
                  <c:v>14520.449999999997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EE-4D16-9545-A618F840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2387439"/>
        <c:axId val="1155760239"/>
      </c:lineChart>
      <c:catAx>
        <c:axId val="123238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0239"/>
        <c:crosses val="autoZero"/>
        <c:auto val="1"/>
        <c:lblAlgn val="ctr"/>
        <c:lblOffset val="100"/>
        <c:noMultiLvlLbl val="0"/>
      </c:catAx>
      <c:valAx>
        <c:axId val="115576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8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Sales'!$D$4:$D$13</c:f>
              <c:strCache>
                <c:ptCount val="1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Smartphone</c:v>
                </c:pt>
                <c:pt idx="4">
                  <c:v>Monitor</c:v>
                </c:pt>
                <c:pt idx="5">
                  <c:v>Bookshelf</c:v>
                </c:pt>
                <c:pt idx="6">
                  <c:v>Desk</c:v>
                </c:pt>
                <c:pt idx="7">
                  <c:v>Sofa</c:v>
                </c:pt>
                <c:pt idx="8">
                  <c:v>Office Chair</c:v>
                </c:pt>
                <c:pt idx="9">
                  <c:v>Table Lamp</c:v>
                </c:pt>
              </c:strCache>
            </c:strRef>
          </c:cat>
          <c:val>
            <c:numRef>
              <c:f>'Top 10 Products by Sales'!$E$4:$E$13</c:f>
              <c:numCache>
                <c:formatCode>General</c:formatCode>
                <c:ptCount val="10"/>
                <c:pt idx="0">
                  <c:v>120687.39000000001</c:v>
                </c:pt>
                <c:pt idx="1">
                  <c:v>114037.98000000003</c:v>
                </c:pt>
                <c:pt idx="2">
                  <c:v>95902.62000000001</c:v>
                </c:pt>
                <c:pt idx="3">
                  <c:v>83418.39</c:v>
                </c:pt>
                <c:pt idx="4">
                  <c:v>71188.94</c:v>
                </c:pt>
                <c:pt idx="5">
                  <c:v>30068.67</c:v>
                </c:pt>
                <c:pt idx="6">
                  <c:v>25512.400000000001</c:v>
                </c:pt>
                <c:pt idx="7">
                  <c:v>23665.949999999997</c:v>
                </c:pt>
                <c:pt idx="8">
                  <c:v>21730.450000000004</c:v>
                </c:pt>
                <c:pt idx="9">
                  <c:v>20451.260000000002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D34-816D-73A396E06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2380479"/>
        <c:axId val="1155753999"/>
      </c:barChart>
      <c:catAx>
        <c:axId val="1232380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Product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53999"/>
        <c:crosses val="autoZero"/>
        <c:auto val="1"/>
        <c:lblAlgn val="ctr"/>
        <c:lblOffset val="100"/>
        <c:noMultiLvlLbl val="0"/>
      </c:catAx>
      <c:valAx>
        <c:axId val="11557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8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[project1.xlsx]Monthly Sales Trend!PivotTable3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'Monthly Sales Trend'!$B$4:$B$17</c:f>
              <c:numCache>
                <c:formatCode>General</c:formatCode>
                <c:ptCount val="12"/>
                <c:pt idx="0">
                  <c:v>66887.430000000008</c:v>
                </c:pt>
                <c:pt idx="1">
                  <c:v>55068.919999999991</c:v>
                </c:pt>
                <c:pt idx="2">
                  <c:v>29947.83</c:v>
                </c:pt>
                <c:pt idx="3">
                  <c:v>70445.75</c:v>
                </c:pt>
                <c:pt idx="4">
                  <c:v>40302.82</c:v>
                </c:pt>
                <c:pt idx="5">
                  <c:v>33286.300000000003</c:v>
                </c:pt>
                <c:pt idx="6">
                  <c:v>66719.639999999985</c:v>
                </c:pt>
                <c:pt idx="7">
                  <c:v>63189.219999999987</c:v>
                </c:pt>
                <c:pt idx="8">
                  <c:v>79740.980000000025</c:v>
                </c:pt>
                <c:pt idx="9">
                  <c:v>43842.09</c:v>
                </c:pt>
                <c:pt idx="10">
                  <c:v>41542.699999999997</c:v>
                </c:pt>
                <c:pt idx="11">
                  <c:v>62894.399999999994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C-4257-AC47-2A930F021F46}"/>
            </c:ext>
          </c:extLst>
        </c:ser>
        <c:ser>
          <c:idx val="1"/>
          <c:order val="1"/>
          <c:tx>
            <c:strRef>
              <c:f>'Monthly Sales Trend'!$C$3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multiLvlStrRef>
              <c:f>'Monthly Sales Trend'!$A$4:$A$17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'Monthly Sales Trend'!$C$4:$C$17</c:f>
              <c:numCache>
                <c:formatCode>General</c:formatCode>
                <c:ptCount val="12"/>
                <c:pt idx="0">
                  <c:v>14901.35</c:v>
                </c:pt>
                <c:pt idx="1">
                  <c:v>12273.090000000004</c:v>
                </c:pt>
                <c:pt idx="2">
                  <c:v>7340.300000000002</c:v>
                </c:pt>
                <c:pt idx="3">
                  <c:v>15465.519999999995</c:v>
                </c:pt>
                <c:pt idx="4">
                  <c:v>9341.1200000000008</c:v>
                </c:pt>
                <c:pt idx="5">
                  <c:v>7764.18</c:v>
                </c:pt>
                <c:pt idx="6">
                  <c:v>15418.42</c:v>
                </c:pt>
                <c:pt idx="7">
                  <c:v>13878.88</c:v>
                </c:pt>
                <c:pt idx="8">
                  <c:v>18240.990000000002</c:v>
                </c:pt>
                <c:pt idx="9">
                  <c:v>9828.5</c:v>
                </c:pt>
                <c:pt idx="10">
                  <c:v>9815.8500000000022</c:v>
                </c:pt>
                <c:pt idx="11">
                  <c:v>14520.449999999997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AC-4257-AC47-2A930F02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2387439"/>
        <c:axId val="1155760239"/>
      </c:lineChart>
      <c:catAx>
        <c:axId val="123238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0239"/>
        <c:crosses val="autoZero"/>
        <c:auto val="1"/>
        <c:lblAlgn val="ctr"/>
        <c:lblOffset val="100"/>
        <c:noMultiLvlLbl val="0"/>
      </c:catAx>
      <c:valAx>
        <c:axId val="115576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8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Sales'!$D$4:$D$13</c:f>
              <c:strCache>
                <c:ptCount val="1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Smartphone</c:v>
                </c:pt>
                <c:pt idx="4">
                  <c:v>Monitor</c:v>
                </c:pt>
                <c:pt idx="5">
                  <c:v>Bookshelf</c:v>
                </c:pt>
                <c:pt idx="6">
                  <c:v>Desk</c:v>
                </c:pt>
                <c:pt idx="7">
                  <c:v>Sofa</c:v>
                </c:pt>
                <c:pt idx="8">
                  <c:v>Office Chair</c:v>
                </c:pt>
                <c:pt idx="9">
                  <c:v>Table Lamp</c:v>
                </c:pt>
              </c:strCache>
            </c:strRef>
          </c:cat>
          <c:val>
            <c:numRef>
              <c:f>'Top 10 Products by Sales'!$E$4:$E$13</c:f>
              <c:numCache>
                <c:formatCode>General</c:formatCode>
                <c:ptCount val="10"/>
                <c:pt idx="0">
                  <c:v>120687.39000000001</c:v>
                </c:pt>
                <c:pt idx="1">
                  <c:v>114037.98000000003</c:v>
                </c:pt>
                <c:pt idx="2">
                  <c:v>95902.62000000001</c:v>
                </c:pt>
                <c:pt idx="3">
                  <c:v>83418.39</c:v>
                </c:pt>
                <c:pt idx="4">
                  <c:v>71188.94</c:v>
                </c:pt>
                <c:pt idx="5">
                  <c:v>30068.67</c:v>
                </c:pt>
                <c:pt idx="6">
                  <c:v>25512.400000000001</c:v>
                </c:pt>
                <c:pt idx="7">
                  <c:v>23665.949999999997</c:v>
                </c:pt>
                <c:pt idx="8">
                  <c:v>21730.450000000004</c:v>
                </c:pt>
                <c:pt idx="9">
                  <c:v>20451.260000000002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F-46C7-B81F-B60B6ACED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2380479"/>
        <c:axId val="1155753999"/>
      </c:barChart>
      <c:catAx>
        <c:axId val="1232380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Product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53999"/>
        <c:crosses val="autoZero"/>
        <c:auto val="1"/>
        <c:lblAlgn val="ctr"/>
        <c:lblOffset val="100"/>
        <c:noMultiLvlLbl val="0"/>
      </c:catAx>
      <c:valAx>
        <c:axId val="115575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8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7</xdr:row>
      <xdr:rowOff>142875</xdr:rowOff>
    </xdr:from>
    <xdr:to>
      <xdr:col>11</xdr:col>
      <xdr:colOff>552450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46E20-92C8-8280-D3B6-3678A1794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7</xdr:row>
      <xdr:rowOff>142875</xdr:rowOff>
    </xdr:from>
    <xdr:to>
      <xdr:col>12</xdr:col>
      <xdr:colOff>9525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5A1ED-54D3-6E29-4FB8-3002DD9CC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7</xdr:row>
      <xdr:rowOff>142875</xdr:rowOff>
    </xdr:from>
    <xdr:to>
      <xdr:col>11</xdr:col>
      <xdr:colOff>533400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D383B-899D-79C6-7DC5-5C65E140E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19050</xdr:rowOff>
    </xdr:from>
    <xdr:to>
      <xdr:col>14</xdr:col>
      <xdr:colOff>1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631D2-3916-4C1F-A9BC-D6FA40773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923924</xdr:colOff>
      <xdr:row>18</xdr:row>
      <xdr:rowOff>142875</xdr:rowOff>
    </xdr:from>
    <xdr:to>
      <xdr:col>9</xdr:col>
      <xdr:colOff>114300</xdr:colOff>
      <xdr:row>30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425B52-8ED0-4613-89B4-10C357BE1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18</xdr:row>
      <xdr:rowOff>152400</xdr:rowOff>
    </xdr:from>
    <xdr:to>
      <xdr:col>14</xdr:col>
      <xdr:colOff>0</xdr:colOff>
      <xdr:row>30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DBE0D5-4CF0-452C-BF58-A1CD754E4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30</xdr:row>
      <xdr:rowOff>47625</xdr:rowOff>
    </xdr:from>
    <xdr:to>
      <xdr:col>13</xdr:col>
      <xdr:colOff>171450</xdr:colOff>
      <xdr:row>42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70C36F-ECA7-46A0-9167-7401359C7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9526</xdr:colOff>
      <xdr:row>42</xdr:row>
      <xdr:rowOff>133350</xdr:rowOff>
    </xdr:from>
    <xdr:to>
      <xdr:col>13</xdr:col>
      <xdr:colOff>171450</xdr:colOff>
      <xdr:row>55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9BB5C8-5645-4321-A8F9-0B2ECBCFE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8</xdr:row>
      <xdr:rowOff>100012</xdr:rowOff>
    </xdr:from>
    <xdr:to>
      <xdr:col>12</xdr:col>
      <xdr:colOff>0</xdr:colOff>
      <xdr:row>22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C69C7-C668-EF64-50DB-C80E10834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</xdr:colOff>
      <xdr:row>8</xdr:row>
      <xdr:rowOff>42862</xdr:rowOff>
    </xdr:from>
    <xdr:to>
      <xdr:col>13</xdr:col>
      <xdr:colOff>385762</xdr:colOff>
      <xdr:row>22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30052-194B-E9E6-B3C8-F9F34A193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6.508146064814" createdVersion="8" refreshedVersion="8" minRefreshableVersion="3" recordCount="500" xr:uid="{B48BC538-4CB3-4AFD-861E-60FA2A0017A4}">
  <cacheSource type="worksheet">
    <worksheetSource name="sales_data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263">
        <d v="2025-09-28T00:00:00"/>
        <d v="2025-05-30T00:00:00"/>
        <d v="2025-01-22T00:00:00"/>
        <d v="2025-12-30T00:00:00"/>
        <d v="2025-03-30T00:00:00"/>
        <d v="2025-09-21T00:00:00"/>
        <d v="2025-07-10T00:00:00"/>
        <d v="2025-07-27T00:00:00"/>
        <d v="2025-01-15T00:00:00"/>
        <d v="2025-10-16T00:00:00"/>
        <d v="2025-04-09T00:00:00"/>
        <d v="2025-09-12T00:00:00"/>
        <d v="2025-02-21T00:00:00"/>
        <d v="2025-08-31T00:00:00"/>
        <d v="2025-12-06T00:00:00"/>
        <d v="2025-05-01T00:00:00"/>
        <d v="2025-06-21T00:00:00"/>
        <d v="2025-05-10T00:00:00"/>
        <d v="2025-06-09T00:00:00"/>
        <d v="2025-08-28T00:00:00"/>
        <d v="2025-12-12T00:00:00"/>
        <d v="2025-05-31T00:00:00"/>
        <d v="2025-01-02T00:00:00"/>
        <d v="2025-06-01T00:00:00"/>
        <d v="2025-03-09T00:00:00"/>
        <d v="2025-06-25T00:00:00"/>
        <d v="2025-01-27T00:00:00"/>
        <d v="2025-01-04T00:00:00"/>
        <d v="2025-08-21T00:00:00"/>
        <d v="2025-06-10T00:00:00"/>
        <d v="2025-05-07T00:00:00"/>
        <d v="2025-12-21T00:00:00"/>
        <d v="2025-05-23T00:00:00"/>
        <d v="2025-11-07T00:00:00"/>
        <d v="2025-04-02T00:00:00"/>
        <d v="2025-02-27T00:00:00"/>
        <d v="2025-07-11T00:00:00"/>
        <d v="2025-10-12T00:00:00"/>
        <d v="2025-12-07T00:00:00"/>
        <d v="2025-08-11T00:00:00"/>
        <d v="2025-09-25T00:00:00"/>
        <d v="2025-09-10T00:00:00"/>
        <d v="2025-04-25T00:00:00"/>
        <d v="2025-09-06T00:00:00"/>
        <d v="2025-12-08T00:00:00"/>
        <d v="2025-07-25T00:00:00"/>
        <d v="2025-02-22T00:00:00"/>
        <d v="2025-08-23T00:00:00"/>
        <d v="2025-06-17T00:00:00"/>
        <d v="2025-11-17T00:00:00"/>
        <d v="2025-05-06T00:00:00"/>
        <d v="2025-10-30T00:00:00"/>
        <d v="2025-11-01T00:00:00"/>
        <d v="2025-08-12T00:00:00"/>
        <d v="2025-11-12T00:00:00"/>
        <d v="2025-07-31T00:00:00"/>
        <d v="2025-04-08T00:00:00"/>
        <d v="2025-12-24T00:00:00"/>
        <d v="2025-01-01T00:00:00"/>
        <d v="2025-09-07T00:00:00"/>
        <d v="2025-11-09T00:00:00"/>
        <d v="2025-08-14T00:00:00"/>
        <d v="2025-12-01T00:00:00"/>
        <d v="2025-04-21T00:00:00"/>
        <d v="2025-12-18T00:00:00"/>
        <d v="2025-06-19T00:00:00"/>
        <d v="2025-10-28T00:00:00"/>
        <d v="2025-12-03T00:00:00"/>
        <d v="2025-12-31T00:00:00"/>
        <d v="2025-10-01T00:00:00"/>
        <d v="2025-08-19T00:00:00"/>
        <d v="2025-04-19T00:00:00"/>
        <d v="2025-04-11T00:00:00"/>
        <d v="2025-01-31T00:00:00"/>
        <d v="2025-04-04T00:00:00"/>
        <d v="2025-05-13T00:00:00"/>
        <d v="2025-05-22T00:00:00"/>
        <d v="2025-01-10T00:00:00"/>
        <d v="2025-09-30T00:00:00"/>
        <d v="2025-08-24T00:00:00"/>
        <d v="2025-11-16T00:00:00"/>
        <d v="2025-03-19T00:00:00"/>
        <d v="2025-01-23T00:00:00"/>
        <d v="2025-02-08T00:00:00"/>
        <d v="2025-09-11T00:00:00"/>
        <d v="2025-04-05T00:00:00"/>
        <d v="2025-10-29T00:00:00"/>
        <d v="2025-12-22T00:00:00"/>
        <d v="2025-02-20T00:00:00"/>
        <d v="2025-07-01T00:00:00"/>
        <d v="2025-05-17T00:00:00"/>
        <d v="2025-07-29T00:00:00"/>
        <d v="2025-06-29T00:00:00"/>
        <d v="2025-02-18T00:00:00"/>
        <d v="2025-10-13T00:00:00"/>
        <d v="2025-11-15T00:00:00"/>
        <d v="2025-03-28T00:00:00"/>
        <d v="2025-06-14T00:00:00"/>
        <d v="2025-04-22T00:00:00"/>
        <d v="2025-07-14T00:00:00"/>
        <d v="2025-01-29T00:00:00"/>
        <d v="2025-01-17T00:00:00"/>
        <d v="2025-02-15T00:00:00"/>
        <d v="2025-09-24T00:00:00"/>
        <d v="2025-11-08T00:00:00"/>
        <d v="2025-07-20T00:00:00"/>
        <d v="2025-01-25T00:00:00"/>
        <d v="2025-02-13T00:00:00"/>
        <d v="2025-03-27T00:00:00"/>
        <d v="2025-03-23T00:00:00"/>
        <d v="2025-04-18T00:00:00"/>
        <d v="2025-12-25T00:00:00"/>
        <d v="2025-06-02T00:00:00"/>
        <d v="2025-10-20T00:00:00"/>
        <d v="2025-04-17T00:00:00"/>
        <d v="2025-01-09T00:00:00"/>
        <d v="2025-11-19T00:00:00"/>
        <d v="2025-02-25T00:00:00"/>
        <d v="2025-12-19T00:00:00"/>
        <d v="2025-07-07T00:00:00"/>
        <d v="2025-06-07T00:00:00"/>
        <d v="2025-04-23T00:00:00"/>
        <d v="2025-03-15T00:00:00"/>
        <d v="2025-08-30T00:00:00"/>
        <d v="2025-02-02T00:00:00"/>
        <d v="2025-06-24T00:00:00"/>
        <d v="2025-03-25T00:00:00"/>
        <d v="2025-10-08T00:00:00"/>
        <d v="2025-01-08T00:00:00"/>
        <d v="2025-06-15T00:00:00"/>
        <d v="2025-11-13T00:00:00"/>
        <d v="2025-12-14T00:00:00"/>
        <d v="2025-01-03T00:00:00"/>
        <d v="2025-07-30T00:00:00"/>
        <d v="2025-07-26T00:00:00"/>
        <d v="2025-03-07T00:00:00"/>
        <d v="2025-01-18T00:00:00"/>
        <d v="2025-12-11T00:00:00"/>
        <d v="2025-07-23T00:00:00"/>
        <d v="2025-11-30T00:00:00"/>
        <d v="2025-02-28T00:00:00"/>
        <d v="2025-10-21T00:00:00"/>
        <d v="2025-04-24T00:00:00"/>
        <d v="2025-04-12T00:00:00"/>
        <d v="2025-12-10T00:00:00"/>
        <d v="2025-10-31T00:00:00"/>
        <d v="2025-01-21T00:00:00"/>
        <d v="2025-10-04T00:00:00"/>
        <d v="2025-08-27T00:00:00"/>
        <d v="2025-02-05T00:00:00"/>
        <d v="2025-04-28T00:00:00"/>
        <d v="2025-03-13T00:00:00"/>
        <d v="2025-10-07T00:00:00"/>
        <d v="2025-04-14T00:00:00"/>
        <d v="2025-08-25T00:00:00"/>
        <d v="2025-07-15T00:00:00"/>
        <d v="2025-01-14T00:00:00"/>
        <d v="2025-10-15T00:00:00"/>
        <d v="2025-03-01T00:00:00"/>
        <d v="2025-09-20T00:00:00"/>
        <d v="2025-05-04T00:00:00"/>
        <d v="2025-09-03T00:00:00"/>
        <d v="2025-08-20T00:00:00"/>
        <d v="2025-04-30T00:00:00"/>
        <d v="2025-12-09T00:00:00"/>
        <d v="2025-01-28T00:00:00"/>
        <d v="2025-08-05T00:00:00"/>
        <d v="2025-05-02T00:00:00"/>
        <d v="2025-10-05T00:00:00"/>
        <d v="2025-01-20T00:00:00"/>
        <d v="2025-02-24T00:00:00"/>
        <d v="2025-06-22T00:00:00"/>
        <d v="2025-07-17T00:00:00"/>
        <d v="2025-02-19T00:00:00"/>
        <d v="2025-09-02T00:00:00"/>
        <d v="2025-04-10T00:00:00"/>
        <d v="2025-08-01T00:00:00"/>
        <d v="2025-12-02T00:00:00"/>
        <d v="2025-05-28T00:00:00"/>
        <d v="2025-03-02T00:00:00"/>
        <d v="2025-03-06T00:00:00"/>
        <d v="2025-05-05T00:00:00"/>
        <d v="2025-07-16T00:00:00"/>
        <d v="2025-03-04T00:00:00"/>
        <d v="2025-11-21T00:00:00"/>
        <d v="2025-09-22T00:00:00"/>
        <d v="2025-07-09T00:00:00"/>
        <d v="2025-02-16T00:00:00"/>
        <d v="2025-04-01T00:00:00"/>
        <d v="2025-10-02T00:00:00"/>
        <d v="2025-11-04T00:00:00"/>
        <d v="2025-02-04T00:00:00"/>
        <d v="2025-03-17T00:00:00"/>
        <d v="2025-06-06T00:00:00"/>
        <d v="2025-07-13T00:00:00"/>
        <d v="2025-11-29T00:00:00"/>
        <d v="2025-08-03T00:00:00"/>
        <d v="2025-07-21T00:00:00"/>
        <d v="2025-09-16T00:00:00"/>
        <d v="2025-01-30T00:00:00"/>
        <d v="2025-02-17T00:00:00"/>
        <d v="2025-01-07T00:00:00"/>
        <d v="2025-06-03T00:00:00"/>
        <d v="2025-04-27T00:00:00"/>
        <d v="2025-07-03T00:00:00"/>
        <d v="2025-02-23T00:00:00"/>
        <d v="2025-08-10T00:00:00"/>
        <d v="2025-02-06T00:00:00"/>
        <d v="2025-05-25T00:00:00"/>
        <d v="2025-10-17T00:00:00"/>
        <d v="2025-07-24T00:00:00"/>
        <d v="2025-12-27T00:00:00"/>
        <d v="2025-01-13T00:00:00"/>
        <d v="2025-11-22T00:00:00"/>
        <d v="2025-04-29T00:00:00"/>
        <d v="2025-06-11T00:00:00"/>
        <d v="2025-11-27T00:00:00"/>
        <d v="2025-08-29T00:00:00"/>
        <d v="2025-03-31T00:00:00"/>
        <d v="2025-12-28T00:00:00"/>
        <d v="2025-08-04T00:00:00"/>
        <d v="2025-04-03T00:00:00"/>
        <d v="2025-10-09T00:00:00"/>
        <d v="2025-10-06T00:00:00"/>
        <d v="2025-11-20T00:00:00"/>
        <d v="2025-01-24T00:00:00"/>
        <d v="2025-12-17T00:00:00"/>
        <d v="2025-10-19T00:00:00"/>
        <d v="2025-06-16T00:00:00"/>
        <d v="2025-02-01T00:00:00"/>
        <d v="2025-07-08T00:00:00"/>
        <d v="2025-07-12T00:00:00"/>
        <d v="2025-02-12T00:00:00"/>
        <d v="2025-11-14T00:00:00"/>
        <d v="2025-09-23T00:00:00"/>
        <d v="2025-11-05T00:00:00"/>
        <d v="2025-09-15T00:00:00"/>
        <d v="2025-09-05T00:00:00"/>
        <d v="2025-06-13T00:00:00"/>
        <d v="2025-07-28T00:00:00"/>
        <d v="2025-12-04T00:00:00"/>
        <d v="2025-09-09T00:00:00"/>
        <d v="2025-09-17T00:00:00"/>
        <d v="2025-06-26T00:00:00"/>
        <d v="2025-05-14T00:00:00"/>
        <d v="2025-12-05T00:00:00"/>
        <d v="2025-09-26T00:00:00"/>
        <d v="2025-05-18T00:00:00"/>
        <d v="2025-12-13T00:00:00"/>
        <d v="2025-11-18T00:00:00"/>
        <d v="2025-02-09T00:00:00"/>
        <d v="2025-11-23T00:00:00"/>
        <d v="2025-08-17T00:00:00"/>
        <d v="2025-09-13T00:00:00"/>
        <d v="2025-10-14T00:00:00"/>
        <d v="2025-08-26T00:00:00"/>
        <d v="2025-08-09T00:00:00"/>
        <d v="2025-11-06T00:00:00"/>
        <d v="2025-08-02T00:00:00"/>
        <d v="2025-03-24T00:00:00"/>
        <d v="2025-01-19T00:00:00"/>
        <d v="2025-05-08T00:00:00"/>
        <d v="2025-09-08T00:00:00"/>
      </sharedItems>
      <fieldGroup par="14"/>
    </cacheField>
    <cacheField name="Customer_ID" numFmtId="0">
      <sharedItems/>
    </cacheField>
    <cacheField name="Customer_Name" numFmtId="0">
      <sharedItems/>
    </cacheField>
    <cacheField name="Category" numFmtId="0">
      <sharedItems count="4">
        <s v="Electronics"/>
        <s v="Office Supplies"/>
        <s v="Furniture"/>
        <s v="Accessories"/>
      </sharedItems>
    </cacheField>
    <cacheField name="Product" numFmtId="0">
      <sharedItems count="20">
        <s v="Keyboard"/>
        <s v="Pen Set"/>
        <s v="Printer Paper"/>
        <s v="Headphones"/>
        <s v="Monitor"/>
        <s v="Table Lamp"/>
        <s v="Sofa"/>
        <s v="Laptop"/>
        <s v="Phone Case"/>
        <s v="Smartphone"/>
        <s v="Desk"/>
        <s v="USB Cable"/>
        <s v="Office Chair"/>
        <s v="Notebook"/>
        <s v="Bookshelf"/>
        <s v="Webcam"/>
        <s v="File Folder"/>
        <s v="Mouse"/>
        <s v="Backpack"/>
        <s v="Stapler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3.58" maxValue="1197.44"/>
    </cacheField>
    <cacheField name="Sales" numFmtId="0">
      <sharedItems containsSemiMixedTypes="0" containsString="0" containsNumber="1" minValue="5.09" maxValue="7939.26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2.17" maxValue="1554.01"/>
    </cacheField>
    <cacheField name="Region" numFmtId="0">
      <sharedItems/>
    </cacheField>
    <cacheField name="Payment_Method" numFmtId="0">
      <sharedItems/>
    </cacheField>
    <cacheField name="Months (Order_Date)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Years (Order_Date)" numFmtId="0" databaseField="0">
      <fieldGroup base="1">
        <rangePr groupBy="years" startDate="2025-01-01T00:00:00" endDate="2026-01-01T00:00:00"/>
        <groupItems count="4">
          <s v="&lt;1/1/2025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6.515525578703" backgroundQuery="1" createdVersion="8" refreshedVersion="8" minRefreshableVersion="3" recordCount="0" supportSubquery="1" supportAdvancedDrill="1" xr:uid="{D0FFE6EA-DC91-4310-934D-F34EB2CB7D16}">
  <cacheSource type="external" connectionId="2"/>
  <cacheFields count="2">
    <cacheField name="[sales_data].[Region].[Region]" caption="Region" numFmtId="0" hierarchy="12" level="1">
      <sharedItems count="4">
        <s v="East"/>
        <s v="North"/>
        <s v="South"/>
        <s v="West"/>
      </sharedItems>
    </cacheField>
    <cacheField name="[Measures].[Sum of Profit]" caption="Sum of Profit" numFmtId="0" hierarchy="17" level="32767"/>
  </cacheFields>
  <cacheHierarchies count="19"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0" memberValueDatatype="7" unbalanced="0"/>
    <cacheHierarchy uniqueName="[sales_data].[Customer_ID]" caption="Customer_ID" attribute="1" defaultMemberUniqueName="[sales_data].[Customer_ID].[All]" allUniqueName="[sales_data].[Customer_ID].[All]" dimensionUniqueName="[sales_data]" displayFolder="" count="0" memberValueDatatype="130" unbalanced="0"/>
    <cacheHierarchy uniqueName="[sales_data].[Customer_Name]" caption="Customer_Name" attribute="1" defaultMemberUniqueName="[sales_data].[Customer_Name].[All]" allUniqueName="[sales_data].[Customer_Name].[All]" dimensionUniqueName="[sales_data]" displayFolder="" count="0" memberValueDatatype="130" unbalanced="0"/>
    <cacheHierarchy uniqueName="[sales_data].[Category]" caption="Category" attribute="1" defaultMemberUniqueName="[sales_data].[Category].[All]" allUniqueName="[sales_data].[Category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5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Profit]" caption="Profit" attribute="1" defaultMemberUniqueName="[sales_data].[Profit].[All]" allUniqueName="[sales_data].[Profit].[All]" dimensionUniqueName="[sales_data]" displayFolder="" count="0" memberValueDatatype="5" unbalanced="0"/>
    <cacheHierarchy uniqueName="[sales_data].[Region]" caption="Region" attribute="1" defaultMemberUniqueName="[sales_data].[Region].[All]" allUniqueName="[sales_data].[Region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Payment_Method]" caption="Payment_Method" attribute="1" defaultMemberUniqueName="[sales_data].[Payment_Method].[All]" allUniqueName="[sales_data].[Payment_Method].[All]" dimensionUniqueName="[sales_data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]" caption="Sum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sales_data" uniqueName="[sales_data]" caption="sales_data"/>
  </dimensions>
  <measureGroups count="2">
    <measureGroup name="Range" caption="Range"/>
    <measureGroup name="sales_data" caption="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6.516007523147" backgroundQuery="1" createdVersion="8" refreshedVersion="8" minRefreshableVersion="3" recordCount="0" supportSubquery="1" supportAdvancedDrill="1" xr:uid="{C9F4A0EC-3272-4FF5-862F-5F9F63AE0F2A}">
  <cacheSource type="external" connectionId="2"/>
  <cacheFields count="2">
    <cacheField name="[sales_data].[Payment_Method].[Payment_Method]" caption="Payment_Method" numFmtId="0" hierarchy="13" level="1">
      <sharedItems count="5">
        <s v="Bank Transfer"/>
        <s v="Cash"/>
        <s v="Credit Card"/>
        <s v="Debit Card"/>
        <s v="Mobile Banking"/>
      </sharedItems>
    </cacheField>
    <cacheField name="[Measures].[Sum of Sales]" caption="Sum of Sales" numFmtId="0" hierarchy="18" level="32767"/>
  </cacheFields>
  <cacheHierarchies count="19"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0" memberValueDatatype="7" unbalanced="0"/>
    <cacheHierarchy uniqueName="[sales_data].[Customer_ID]" caption="Customer_ID" attribute="1" defaultMemberUniqueName="[sales_data].[Customer_ID].[All]" allUniqueName="[sales_data].[Customer_ID].[All]" dimensionUniqueName="[sales_data]" displayFolder="" count="0" memberValueDatatype="130" unbalanced="0"/>
    <cacheHierarchy uniqueName="[sales_data].[Customer_Name]" caption="Customer_Name" attribute="1" defaultMemberUniqueName="[sales_data].[Customer_Name].[All]" allUniqueName="[sales_data].[Customer_Name].[All]" dimensionUniqueName="[sales_data]" displayFolder="" count="0" memberValueDatatype="130" unbalanced="0"/>
    <cacheHierarchy uniqueName="[sales_data].[Category]" caption="Category" attribute="1" defaultMemberUniqueName="[sales_data].[Category].[All]" allUniqueName="[sales_data].[Category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5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Profit]" caption="Profit" attribute="1" defaultMemberUniqueName="[sales_data].[Profit].[All]" allUniqueName="[sales_data].[Profit].[All]" dimensionUniqueName="[sales_data]" displayFolder="" count="0" memberValueDatatype="5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Payment_Method]" caption="Payment_Method" attribute="1" defaultMemberUniqueName="[sales_data].[Payment_Method].[All]" allUniqueName="[sales_data].[Payment_Method].[All]" dimensionUniqueName="[sales_data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]" caption="Sum of Sales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sales_data" uniqueName="[sales_data]" caption="sales_data"/>
  </dimensions>
  <measureGroups count="2">
    <measureGroup name="Range" caption="Range"/>
    <measureGroup name="sales_data" caption="sales_data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10002"/>
    <x v="0"/>
    <s v="CUST-0107"/>
    <s v="Customer 107"/>
    <x v="0"/>
    <x v="0"/>
    <n v="5"/>
    <n v="726.3"/>
    <n v="3449.92"/>
    <n v="0.05"/>
    <n v="714.14"/>
    <s v="East"/>
    <s v="Bank Transfer"/>
  </r>
  <r>
    <s v="ORD-10003"/>
    <x v="1"/>
    <s v="CUST-0053"/>
    <s v="Customer 53"/>
    <x v="1"/>
    <x v="1"/>
    <n v="2"/>
    <n v="58.59"/>
    <n v="99.6"/>
    <n v="0.15"/>
    <n v="43.82"/>
    <s v="West"/>
    <s v="Bank Transfer"/>
  </r>
  <r>
    <s v="ORD-10004"/>
    <x v="2"/>
    <s v="CUST-0108"/>
    <s v="Customer 108"/>
    <x v="1"/>
    <x v="2"/>
    <n v="1"/>
    <n v="25.42"/>
    <n v="22.88"/>
    <n v="0.1"/>
    <n v="9.9700000000000006"/>
    <s v="West"/>
    <s v="Cash"/>
  </r>
  <r>
    <s v="ORD-10005"/>
    <x v="3"/>
    <s v="CUST-0055"/>
    <s v="Customer 55"/>
    <x v="0"/>
    <x v="3"/>
    <n v="4"/>
    <n v="721.09"/>
    <n v="2884.36"/>
    <n v="0"/>
    <n v="553.14"/>
    <s v="North"/>
    <s v="Credit Card"/>
  </r>
  <r>
    <s v="ORD-10006"/>
    <x v="4"/>
    <s v="CUST-0060"/>
    <s v="Customer 60"/>
    <x v="0"/>
    <x v="4"/>
    <n v="6"/>
    <n v="974.87"/>
    <n v="5556.76"/>
    <n v="0.05"/>
    <n v="1150.6400000000001"/>
    <s v="West"/>
    <s v="Cash"/>
  </r>
  <r>
    <s v="ORD-10007"/>
    <x v="5"/>
    <s v="CUST-0047"/>
    <s v="Customer 47"/>
    <x v="2"/>
    <x v="5"/>
    <n v="3"/>
    <n v="639.24"/>
    <n v="1917.72"/>
    <n v="0"/>
    <n v="556.38"/>
    <s v="South"/>
    <s v="Debit Card"/>
  </r>
  <r>
    <s v="ORD-10008"/>
    <x v="6"/>
    <s v="CUST-0018"/>
    <s v="Customer 18"/>
    <x v="2"/>
    <x v="6"/>
    <n v="2"/>
    <n v="331.34"/>
    <n v="629.54999999999995"/>
    <n v="0.05"/>
    <n v="177.66"/>
    <s v="East"/>
    <s v="Cash"/>
  </r>
  <r>
    <s v="ORD-10009"/>
    <x v="7"/>
    <s v="CUST-0109"/>
    <s v="Customer 109"/>
    <x v="0"/>
    <x v="0"/>
    <n v="2"/>
    <n v="659.14"/>
    <n v="1186.45"/>
    <n v="0.1"/>
    <n v="214.8"/>
    <s v="West"/>
    <s v="Cash"/>
  </r>
  <r>
    <s v="ORD-10010"/>
    <x v="8"/>
    <s v="CUST-0045"/>
    <s v="Customer 45"/>
    <x v="0"/>
    <x v="0"/>
    <n v="1"/>
    <n v="43.37"/>
    <n v="41.2"/>
    <n v="0.05"/>
    <n v="8.16"/>
    <s v="West"/>
    <s v="Mobile Banking"/>
  </r>
  <r>
    <s v="ORD-10011"/>
    <x v="9"/>
    <s v="CUST-0005"/>
    <s v="Customer 5"/>
    <x v="0"/>
    <x v="3"/>
    <n v="2"/>
    <n v="446.2"/>
    <n v="892.4"/>
    <n v="0"/>
    <n v="164.3"/>
    <s v="West"/>
    <s v="Cash"/>
  </r>
  <r>
    <s v="ORD-10012"/>
    <x v="10"/>
    <s v="CUST-0044"/>
    <s v="Customer 44"/>
    <x v="0"/>
    <x v="0"/>
    <n v="6"/>
    <n v="1067.47"/>
    <n v="6084.58"/>
    <n v="0.05"/>
    <n v="1255.93"/>
    <s v="South"/>
    <s v="Mobile Banking"/>
  </r>
  <r>
    <s v="ORD-10013"/>
    <x v="11"/>
    <s v="CUST-0014"/>
    <s v="Customer 14"/>
    <x v="1"/>
    <x v="2"/>
    <n v="7"/>
    <n v="6.11"/>
    <n v="38.49"/>
    <n v="0.1"/>
    <n v="16.809999999999999"/>
    <s v="West"/>
    <s v="Bank Transfer"/>
  </r>
  <r>
    <s v="ORD-10014"/>
    <x v="12"/>
    <s v="CUST-0096"/>
    <s v="Customer 96"/>
    <x v="0"/>
    <x v="7"/>
    <n v="4"/>
    <n v="1091.3900000000001"/>
    <n v="4365.5600000000004"/>
    <n v="0"/>
    <n v="863.02"/>
    <s v="East"/>
    <s v="Bank Transfer"/>
  </r>
  <r>
    <s v="ORD-10015"/>
    <x v="13"/>
    <s v="CUST-0086"/>
    <s v="Customer 86"/>
    <x v="0"/>
    <x v="3"/>
    <n v="4"/>
    <n v="1117.3900000000001"/>
    <n v="3799.13"/>
    <n v="0.15"/>
    <n v="725.63"/>
    <s v="South"/>
    <s v="Cash"/>
  </r>
  <r>
    <s v="ORD-10016"/>
    <x v="14"/>
    <s v="CUST-0030"/>
    <s v="Customer 30"/>
    <x v="3"/>
    <x v="8"/>
    <n v="6"/>
    <n v="100.77"/>
    <n v="513.92999999999995"/>
    <n v="0.15"/>
    <n v="186.62"/>
    <s v="East"/>
    <s v="Credit Card"/>
  </r>
  <r>
    <s v="ORD-10017"/>
    <x v="15"/>
    <s v="CUST-0116"/>
    <s v="Customer 116"/>
    <x v="0"/>
    <x v="3"/>
    <n v="5"/>
    <n v="1036.3599999999999"/>
    <n v="5181.8"/>
    <n v="0"/>
    <n v="1008.78"/>
    <s v="North"/>
    <s v="Bank Transfer"/>
  </r>
  <r>
    <s v="ORD-10018"/>
    <x v="16"/>
    <s v="CUST-0024"/>
    <s v="Customer 24"/>
    <x v="1"/>
    <x v="2"/>
    <n v="7"/>
    <n v="15.96"/>
    <n v="111.72"/>
    <n v="0"/>
    <n v="47.29"/>
    <s v="West"/>
    <s v="Credit Card"/>
  </r>
  <r>
    <s v="ORD-10019"/>
    <x v="12"/>
    <s v="CUST-0012"/>
    <s v="Customer 12"/>
    <x v="0"/>
    <x v="9"/>
    <n v="6"/>
    <n v="843.16"/>
    <n v="4553.0600000000004"/>
    <n v="0.1"/>
    <n v="935.92"/>
    <s v="West"/>
    <s v="Credit Card"/>
  </r>
  <r>
    <s v="ORD-10020"/>
    <x v="17"/>
    <s v="CUST-0092"/>
    <s v="Customer 92"/>
    <x v="0"/>
    <x v="9"/>
    <n v="6"/>
    <n v="63.83"/>
    <n v="363.83"/>
    <n v="0.05"/>
    <n v="69.48"/>
    <s v="South"/>
    <s v="Debit Card"/>
  </r>
  <r>
    <s v="ORD-10021"/>
    <x v="18"/>
    <s v="CUST-0070"/>
    <s v="Customer 70"/>
    <x v="2"/>
    <x v="10"/>
    <n v="7"/>
    <n v="480.33"/>
    <n v="3026.08"/>
    <n v="0.1"/>
    <n v="916.51"/>
    <s v="East"/>
    <s v="Bank Transfer"/>
  </r>
  <r>
    <s v="ORD-10022"/>
    <x v="19"/>
    <s v="CUST-0016"/>
    <s v="Customer 16"/>
    <x v="1"/>
    <x v="1"/>
    <n v="1"/>
    <n v="14.61"/>
    <n v="13.88"/>
    <n v="0.05"/>
    <n v="5.82"/>
    <s v="East"/>
    <s v="Cash"/>
  </r>
  <r>
    <s v="ORD-10023"/>
    <x v="20"/>
    <s v="CUST-0067"/>
    <s v="Customer 67"/>
    <x v="0"/>
    <x v="4"/>
    <n v="7"/>
    <n v="291.13"/>
    <n v="1834.12"/>
    <n v="0.1"/>
    <n v="375.57"/>
    <s v="North"/>
    <s v="Debit Card"/>
  </r>
  <r>
    <s v="ORD-10024"/>
    <x v="21"/>
    <s v="CUST-0031"/>
    <s v="Customer 31"/>
    <x v="3"/>
    <x v="11"/>
    <n v="6"/>
    <n v="127.67"/>
    <n v="766.02"/>
    <n v="0"/>
    <n v="294.73"/>
    <s v="West"/>
    <s v="Credit Card"/>
  </r>
  <r>
    <s v="ORD-10025"/>
    <x v="22"/>
    <s v="CUST-0001"/>
    <s v="Customer 1"/>
    <x v="2"/>
    <x v="12"/>
    <n v="6"/>
    <n v="631.13"/>
    <n v="3218.76"/>
    <n v="0.15"/>
    <n v="936.68"/>
    <s v="North"/>
    <s v="Credit Card"/>
  </r>
  <r>
    <s v="ORD-10026"/>
    <x v="23"/>
    <s v="CUST-0054"/>
    <s v="Customer 54"/>
    <x v="0"/>
    <x v="3"/>
    <n v="1"/>
    <n v="779.39"/>
    <n v="779.39"/>
    <n v="0"/>
    <n v="159.88999999999999"/>
    <s v="South"/>
    <s v="Cash"/>
  </r>
  <r>
    <s v="ORD-10027"/>
    <x v="10"/>
    <s v="CUST-0025"/>
    <s v="Customer 25"/>
    <x v="1"/>
    <x v="13"/>
    <n v="5"/>
    <n v="24.86"/>
    <n v="118.08"/>
    <n v="0.05"/>
    <n v="50.23"/>
    <s v="East"/>
    <s v="Bank Transfer"/>
  </r>
  <r>
    <s v="ORD-10028"/>
    <x v="24"/>
    <s v="CUST-0033"/>
    <s v="Customer 33"/>
    <x v="0"/>
    <x v="7"/>
    <n v="6"/>
    <n v="407.34"/>
    <n v="2199.64"/>
    <n v="0.1"/>
    <n v="419.06"/>
    <s v="East"/>
    <s v="Mobile Banking"/>
  </r>
  <r>
    <s v="ORD-10029"/>
    <x v="25"/>
    <s v="CUST-0076"/>
    <s v="Customer 76"/>
    <x v="1"/>
    <x v="13"/>
    <n v="3"/>
    <n v="31.31"/>
    <n v="93.93"/>
    <n v="0"/>
    <n v="40.64"/>
    <s v="South"/>
    <s v="Bank Transfer"/>
  </r>
  <r>
    <s v="ORD-10030"/>
    <x v="26"/>
    <s v="CUST-0098"/>
    <s v="Customer 98"/>
    <x v="2"/>
    <x v="14"/>
    <n v="5"/>
    <n v="366.77"/>
    <n v="1650.46"/>
    <n v="0.1"/>
    <n v="487.26"/>
    <s v="North"/>
    <s v="Cash"/>
  </r>
  <r>
    <s v="ORD-10031"/>
    <x v="27"/>
    <s v="CUST-0035"/>
    <s v="Customer 35"/>
    <x v="1"/>
    <x v="1"/>
    <n v="1"/>
    <n v="6.36"/>
    <n v="5.09"/>
    <n v="0.2"/>
    <n v="2.17"/>
    <s v="South"/>
    <s v="Bank Transfer"/>
  </r>
  <r>
    <s v="ORD-10032"/>
    <x v="28"/>
    <s v="CUST-0037"/>
    <s v="Customer 37"/>
    <x v="3"/>
    <x v="8"/>
    <n v="5"/>
    <n v="81.650000000000006"/>
    <n v="326.60000000000002"/>
    <n v="0.2"/>
    <n v="117.93"/>
    <s v="North"/>
    <s v="Cash"/>
  </r>
  <r>
    <s v="ORD-10033"/>
    <x v="29"/>
    <s v="CUST-0067"/>
    <s v="Customer 67"/>
    <x v="0"/>
    <x v="0"/>
    <n v="2"/>
    <n v="679.24"/>
    <n v="1154.71"/>
    <n v="0.15"/>
    <n v="218.38"/>
    <s v="West"/>
    <s v="Debit Card"/>
  </r>
  <r>
    <s v="ORD-10034"/>
    <x v="30"/>
    <s v="CUST-0027"/>
    <s v="Customer 27"/>
    <x v="1"/>
    <x v="2"/>
    <n v="2"/>
    <n v="70.56"/>
    <n v="127.01"/>
    <n v="0.1"/>
    <n v="53.23"/>
    <s v="East"/>
    <s v="Bank Transfer"/>
  </r>
  <r>
    <s v="ORD-10035"/>
    <x v="31"/>
    <s v="CUST-0050"/>
    <s v="Customer 50"/>
    <x v="0"/>
    <x v="9"/>
    <n v="1"/>
    <n v="743.53"/>
    <n v="743.53"/>
    <n v="0"/>
    <n v="156.03"/>
    <s v="West"/>
    <s v="Bank Transfer"/>
  </r>
  <r>
    <s v="ORD-10036"/>
    <x v="32"/>
    <s v="CUST-0092"/>
    <s v="Customer 92"/>
    <x v="0"/>
    <x v="4"/>
    <n v="2"/>
    <n v="135.43"/>
    <n v="243.77"/>
    <n v="0.1"/>
    <n v="50.93"/>
    <s v="North"/>
    <s v="Debit Card"/>
  </r>
  <r>
    <s v="ORD-10037"/>
    <x v="1"/>
    <s v="CUST-0058"/>
    <s v="Customer 58"/>
    <x v="2"/>
    <x v="6"/>
    <n v="2"/>
    <n v="50.44"/>
    <n v="100.88"/>
    <n v="0"/>
    <n v="28.78"/>
    <s v="South"/>
    <s v="Mobile Banking"/>
  </r>
  <r>
    <s v="ORD-10038"/>
    <x v="5"/>
    <s v="CUST-0053"/>
    <s v="Customer 53"/>
    <x v="0"/>
    <x v="7"/>
    <n v="4"/>
    <n v="278.58999999999997"/>
    <n v="1002.92"/>
    <n v="0.1"/>
    <n v="208.05"/>
    <s v="North"/>
    <s v="Cash"/>
  </r>
  <r>
    <s v="ORD-10039"/>
    <x v="33"/>
    <s v="CUST-0040"/>
    <s v="Customer 40"/>
    <x v="2"/>
    <x v="14"/>
    <n v="4"/>
    <n v="118.94"/>
    <n v="380.61"/>
    <n v="0.2"/>
    <n v="109.83"/>
    <s v="East"/>
    <s v="Credit Card"/>
  </r>
  <r>
    <s v="ORD-10040"/>
    <x v="34"/>
    <s v="CUST-0058"/>
    <s v="Customer 58"/>
    <x v="2"/>
    <x v="14"/>
    <n v="7"/>
    <n v="198.08"/>
    <n v="1386.56"/>
    <n v="0"/>
    <n v="426.47"/>
    <s v="East"/>
    <s v="Credit Card"/>
  </r>
  <r>
    <s v="ORD-10041"/>
    <x v="35"/>
    <s v="CUST-0001"/>
    <s v="Customer 1"/>
    <x v="1"/>
    <x v="13"/>
    <n v="7"/>
    <n v="22.27"/>
    <n v="148.1"/>
    <n v="0.05"/>
    <n v="61.99"/>
    <s v="West"/>
    <s v="Bank Transfer"/>
  </r>
  <r>
    <s v="ORD-10042"/>
    <x v="36"/>
    <s v="CUST-0063"/>
    <s v="Customer 63"/>
    <x v="0"/>
    <x v="0"/>
    <n v="5"/>
    <n v="743.77"/>
    <n v="3532.91"/>
    <n v="0.05"/>
    <n v="715.65"/>
    <s v="West"/>
    <s v="Mobile Banking"/>
  </r>
  <r>
    <s v="ORD-10043"/>
    <x v="37"/>
    <s v="CUST-0078"/>
    <s v="Customer 78"/>
    <x v="1"/>
    <x v="13"/>
    <n v="4"/>
    <n v="6.54"/>
    <n v="26.16"/>
    <n v="0"/>
    <n v="10.84"/>
    <s v="West"/>
    <s v="Bank Transfer"/>
  </r>
  <r>
    <s v="ORD-10044"/>
    <x v="38"/>
    <s v="CUST-0039"/>
    <s v="Customer 39"/>
    <x v="2"/>
    <x v="10"/>
    <n v="4"/>
    <n v="146.05000000000001"/>
    <n v="554.99"/>
    <n v="0.05"/>
    <n v="165.41"/>
    <s v="South"/>
    <s v="Bank Transfer"/>
  </r>
  <r>
    <s v="ORD-10045"/>
    <x v="39"/>
    <s v="CUST-0010"/>
    <s v="Customer 10"/>
    <x v="3"/>
    <x v="8"/>
    <n v="2"/>
    <n v="168.55"/>
    <n v="320.24"/>
    <n v="0.05"/>
    <n v="119.71"/>
    <s v="North"/>
    <s v="Cash"/>
  </r>
  <r>
    <s v="ORD-10046"/>
    <x v="18"/>
    <s v="CUST-0091"/>
    <s v="Customer 91"/>
    <x v="1"/>
    <x v="2"/>
    <n v="4"/>
    <n v="47.31"/>
    <n v="179.78"/>
    <n v="0.05"/>
    <n v="75.63"/>
    <s v="North"/>
    <s v="Bank Transfer"/>
  </r>
  <r>
    <s v="ORD-10047"/>
    <x v="40"/>
    <s v="CUST-0067"/>
    <s v="Customer 67"/>
    <x v="2"/>
    <x v="6"/>
    <n v="1"/>
    <n v="674"/>
    <n v="572.9"/>
    <n v="0.15"/>
    <n v="174.23"/>
    <s v="North"/>
    <s v="Cash"/>
  </r>
  <r>
    <s v="ORD-10048"/>
    <x v="41"/>
    <s v="CUST-0115"/>
    <s v="Customer 115"/>
    <x v="0"/>
    <x v="9"/>
    <n v="2"/>
    <n v="827.53"/>
    <n v="1655.06"/>
    <n v="0"/>
    <n v="331.72"/>
    <s v="South"/>
    <s v="Debit Card"/>
  </r>
  <r>
    <s v="ORD-10049"/>
    <x v="42"/>
    <s v="CUST-0105"/>
    <s v="Customer 105"/>
    <x v="0"/>
    <x v="9"/>
    <n v="7"/>
    <n v="163.84"/>
    <n v="1032.19"/>
    <n v="0.1"/>
    <n v="197.28"/>
    <s v="North"/>
    <s v="Cash"/>
  </r>
  <r>
    <s v="ORD-10050"/>
    <x v="43"/>
    <s v="CUST-0036"/>
    <s v="Customer 36"/>
    <x v="2"/>
    <x v="6"/>
    <n v="2"/>
    <n v="313.73"/>
    <n v="564.71"/>
    <n v="0.1"/>
    <n v="165.3"/>
    <s v="East"/>
    <s v="Cash"/>
  </r>
  <r>
    <s v="ORD-10051"/>
    <x v="40"/>
    <s v="CUST-0113"/>
    <s v="Customer 113"/>
    <x v="0"/>
    <x v="0"/>
    <n v="7"/>
    <n v="907.27"/>
    <n v="5715.8"/>
    <n v="0.1"/>
    <n v="1182.6300000000001"/>
    <s v="North"/>
    <s v="Credit Card"/>
  </r>
  <r>
    <s v="ORD-10052"/>
    <x v="44"/>
    <s v="CUST-0013"/>
    <s v="Customer 13"/>
    <x v="2"/>
    <x v="12"/>
    <n v="3"/>
    <n v="96.99"/>
    <n v="290.97000000000003"/>
    <n v="0"/>
    <n v="81.83"/>
    <s v="East"/>
    <s v="Cash"/>
  </r>
  <r>
    <s v="ORD-10053"/>
    <x v="45"/>
    <s v="CUST-0095"/>
    <s v="Customer 95"/>
    <x v="0"/>
    <x v="4"/>
    <n v="4"/>
    <n v="698.79"/>
    <n v="2515.64"/>
    <n v="0.1"/>
    <n v="494.44"/>
    <s v="East"/>
    <s v="Cash"/>
  </r>
  <r>
    <s v="ORD-10054"/>
    <x v="46"/>
    <s v="CUST-0023"/>
    <s v="Customer 23"/>
    <x v="0"/>
    <x v="3"/>
    <n v="1"/>
    <n v="158.32"/>
    <n v="134.57"/>
    <n v="0.15"/>
    <n v="24.33"/>
    <s v="South"/>
    <s v="Debit Card"/>
  </r>
  <r>
    <s v="ORD-10055"/>
    <x v="47"/>
    <s v="CUST-0075"/>
    <s v="Customer 75"/>
    <x v="2"/>
    <x v="6"/>
    <n v="2"/>
    <n v="679"/>
    <n v="1222.2"/>
    <n v="0.1"/>
    <n v="348.19"/>
    <s v="North"/>
    <s v="Bank Transfer"/>
  </r>
  <r>
    <s v="ORD-10056"/>
    <x v="48"/>
    <s v="CUST-0042"/>
    <s v="Customer 42"/>
    <x v="3"/>
    <x v="15"/>
    <n v="1"/>
    <n v="149.36000000000001"/>
    <n v="134.41999999999999"/>
    <n v="0.1"/>
    <n v="52.1"/>
    <s v="North"/>
    <s v="Mobile Banking"/>
  </r>
  <r>
    <s v="ORD-10057"/>
    <x v="49"/>
    <s v="CUST-0086"/>
    <s v="Customer 86"/>
    <x v="1"/>
    <x v="16"/>
    <n v="4"/>
    <n v="21.22"/>
    <n v="72.150000000000006"/>
    <n v="0.15"/>
    <n v="30.46"/>
    <s v="West"/>
    <s v="Cash"/>
  </r>
  <r>
    <s v="ORD-10058"/>
    <x v="3"/>
    <s v="CUST-0054"/>
    <s v="Customer 54"/>
    <x v="0"/>
    <x v="0"/>
    <n v="7"/>
    <n v="523.46"/>
    <n v="3114.59"/>
    <n v="0.15"/>
    <n v="643.66999999999996"/>
    <s v="East"/>
    <s v="Bank Transfer"/>
  </r>
  <r>
    <s v="ORD-10059"/>
    <x v="50"/>
    <s v="CUST-0058"/>
    <s v="Customer 58"/>
    <x v="0"/>
    <x v="4"/>
    <n v="4"/>
    <n v="164.61"/>
    <n v="658.44"/>
    <n v="0"/>
    <n v="125.45"/>
    <s v="North"/>
    <s v="Mobile Banking"/>
  </r>
  <r>
    <s v="ORD-10060"/>
    <x v="6"/>
    <s v="CUST-0113"/>
    <s v="Customer 113"/>
    <x v="1"/>
    <x v="13"/>
    <n v="1"/>
    <n v="69.88"/>
    <n v="69.88"/>
    <n v="0"/>
    <n v="28.73"/>
    <s v="West"/>
    <s v="Bank Transfer"/>
  </r>
  <r>
    <s v="ORD-10061"/>
    <x v="51"/>
    <s v="CUST-0021"/>
    <s v="Customer 21"/>
    <x v="3"/>
    <x v="15"/>
    <n v="6"/>
    <n v="167.04"/>
    <n v="851.9"/>
    <n v="0.15"/>
    <n v="325.77999999999997"/>
    <s v="East"/>
    <s v="Cash"/>
  </r>
  <r>
    <s v="ORD-10062"/>
    <x v="52"/>
    <s v="CUST-0014"/>
    <s v="Customer 14"/>
    <x v="0"/>
    <x v="7"/>
    <n v="7"/>
    <n v="559.09"/>
    <n v="3522.27"/>
    <n v="0.1"/>
    <n v="677.93"/>
    <s v="West"/>
    <s v="Credit Card"/>
  </r>
  <r>
    <s v="ORD-10063"/>
    <x v="53"/>
    <s v="CUST-0016"/>
    <s v="Customer 16"/>
    <x v="3"/>
    <x v="17"/>
    <n v="6"/>
    <n v="86.37"/>
    <n v="466.4"/>
    <n v="0.1"/>
    <n v="178.01"/>
    <s v="West"/>
    <s v="Cash"/>
  </r>
  <r>
    <s v="ORD-10064"/>
    <x v="54"/>
    <s v="CUST-0050"/>
    <s v="Customer 50"/>
    <x v="2"/>
    <x v="10"/>
    <n v="4"/>
    <n v="82.08"/>
    <n v="262.66000000000003"/>
    <n v="0.2"/>
    <n v="73.650000000000006"/>
    <s v="South"/>
    <s v="Credit Card"/>
  </r>
  <r>
    <s v="ORD-10065"/>
    <x v="55"/>
    <s v="CUST-0077"/>
    <s v="Customer 77"/>
    <x v="0"/>
    <x v="0"/>
    <n v="4"/>
    <n v="343.38"/>
    <n v="1373.52"/>
    <n v="0"/>
    <n v="285.3"/>
    <s v="South"/>
    <s v="Debit Card"/>
  </r>
  <r>
    <s v="ORD-10066"/>
    <x v="51"/>
    <s v="CUST-0025"/>
    <s v="Customer 25"/>
    <x v="2"/>
    <x v="6"/>
    <n v="2"/>
    <n v="85.44"/>
    <n v="145.25"/>
    <n v="0.15"/>
    <n v="42.62"/>
    <s v="North"/>
    <s v="Credit Card"/>
  </r>
  <r>
    <s v="ORD-10067"/>
    <x v="53"/>
    <s v="CUST-0111"/>
    <s v="Customer 111"/>
    <x v="1"/>
    <x v="2"/>
    <n v="1"/>
    <n v="32.01"/>
    <n v="28.81"/>
    <n v="0.1"/>
    <n v="12.34"/>
    <s v="East"/>
    <s v="Mobile Banking"/>
  </r>
  <r>
    <s v="ORD-10068"/>
    <x v="56"/>
    <s v="CUST-0105"/>
    <s v="Customer 105"/>
    <x v="2"/>
    <x v="12"/>
    <n v="3"/>
    <n v="119.68"/>
    <n v="359.04"/>
    <n v="0"/>
    <n v="110.49"/>
    <s v="West"/>
    <s v="Credit Card"/>
  </r>
  <r>
    <s v="ORD-10069"/>
    <x v="57"/>
    <s v="CUST-0003"/>
    <s v="Customer 3"/>
    <x v="2"/>
    <x v="6"/>
    <n v="5"/>
    <n v="422.05"/>
    <n v="1899.22"/>
    <n v="0.1"/>
    <n v="545.62"/>
    <s v="East"/>
    <s v="Credit Card"/>
  </r>
  <r>
    <s v="ORD-10070"/>
    <x v="58"/>
    <s v="CUST-0051"/>
    <s v="Customer 51"/>
    <x v="0"/>
    <x v="7"/>
    <n v="5"/>
    <n v="737.26"/>
    <n v="3686.3"/>
    <n v="0"/>
    <n v="699.84"/>
    <s v="West"/>
    <s v="Debit Card"/>
  </r>
  <r>
    <s v="ORD-10071"/>
    <x v="59"/>
    <s v="CUST-0034"/>
    <s v="Customer 34"/>
    <x v="0"/>
    <x v="9"/>
    <n v="6"/>
    <n v="932.47"/>
    <n v="5315.08"/>
    <n v="0.05"/>
    <n v="980.28"/>
    <s v="South"/>
    <s v="Cash"/>
  </r>
  <r>
    <s v="ORD-10072"/>
    <x v="60"/>
    <s v="CUST-0017"/>
    <s v="Customer 17"/>
    <x v="2"/>
    <x v="14"/>
    <n v="7"/>
    <n v="49.28"/>
    <n v="310.45999999999998"/>
    <n v="0.1"/>
    <n v="90.47"/>
    <s v="South"/>
    <s v="Mobile Banking"/>
  </r>
  <r>
    <s v="ORD-10073"/>
    <x v="61"/>
    <s v="CUST-0038"/>
    <s v="Customer 38"/>
    <x v="0"/>
    <x v="4"/>
    <n v="2"/>
    <n v="718.15"/>
    <n v="1364.48"/>
    <n v="0.05"/>
    <n v="268.63"/>
    <s v="East"/>
    <s v="Debit Card"/>
  </r>
  <r>
    <s v="ORD-10074"/>
    <x v="62"/>
    <s v="CUST-0030"/>
    <s v="Customer 30"/>
    <x v="0"/>
    <x v="7"/>
    <n v="7"/>
    <n v="640.23"/>
    <n v="4033.45"/>
    <n v="0.1"/>
    <n v="750.65"/>
    <s v="South"/>
    <s v="Credit Card"/>
  </r>
  <r>
    <s v="ORD-10075"/>
    <x v="14"/>
    <s v="CUST-0088"/>
    <s v="Customer 88"/>
    <x v="2"/>
    <x v="5"/>
    <n v="5"/>
    <n v="686.62"/>
    <n v="3261.44"/>
    <n v="0.05"/>
    <n v="978.88"/>
    <s v="East"/>
    <s v="Mobile Banking"/>
  </r>
  <r>
    <s v="ORD-10076"/>
    <x v="63"/>
    <s v="CUST-0023"/>
    <s v="Customer 23"/>
    <x v="0"/>
    <x v="3"/>
    <n v="7"/>
    <n v="712.1"/>
    <n v="4735.46"/>
    <n v="0.05"/>
    <n v="895.33"/>
    <s v="West"/>
    <s v="Cash"/>
  </r>
  <r>
    <s v="ORD-10077"/>
    <x v="64"/>
    <s v="CUST-0067"/>
    <s v="Customer 67"/>
    <x v="0"/>
    <x v="3"/>
    <n v="3"/>
    <n v="809.38"/>
    <n v="2428.14"/>
    <n v="0"/>
    <n v="495.9"/>
    <s v="East"/>
    <s v="Bank Transfer"/>
  </r>
  <r>
    <s v="ORD-10078"/>
    <x v="65"/>
    <s v="CUST-0061"/>
    <s v="Customer 61"/>
    <x v="0"/>
    <x v="4"/>
    <n v="6"/>
    <n v="129.22999999999999"/>
    <n v="775.38"/>
    <n v="0"/>
    <n v="152.11000000000001"/>
    <s v="South"/>
    <s v="Debit Card"/>
  </r>
  <r>
    <s v="ORD-10079"/>
    <x v="66"/>
    <s v="CUST-0027"/>
    <s v="Customer 27"/>
    <x v="0"/>
    <x v="9"/>
    <n v="1"/>
    <n v="133.44"/>
    <n v="126.77"/>
    <n v="0.05"/>
    <n v="24.01"/>
    <s v="West"/>
    <s v="Mobile Banking"/>
  </r>
  <r>
    <s v="ORD-10080"/>
    <x v="67"/>
    <s v="CUST-0026"/>
    <s v="Customer 26"/>
    <x v="3"/>
    <x v="15"/>
    <n v="4"/>
    <n v="146.66999999999999"/>
    <n v="528.01"/>
    <n v="0.1"/>
    <n v="203"/>
    <s v="East"/>
    <s v="Debit Card"/>
  </r>
  <r>
    <s v="ORD-10081"/>
    <x v="68"/>
    <s v="CUST-0026"/>
    <s v="Customer 26"/>
    <x v="1"/>
    <x v="2"/>
    <n v="6"/>
    <n v="14.38"/>
    <n v="86.28"/>
    <n v="0"/>
    <n v="36.18"/>
    <s v="East"/>
    <s v="Mobile Banking"/>
  </r>
  <r>
    <s v="ORD-10082"/>
    <x v="69"/>
    <s v="CUST-0038"/>
    <s v="Customer 38"/>
    <x v="2"/>
    <x v="6"/>
    <n v="3"/>
    <n v="296.10000000000002"/>
    <n v="888.3"/>
    <n v="0"/>
    <n v="255.72"/>
    <s v="West"/>
    <s v="Debit Card"/>
  </r>
  <r>
    <s v="ORD-10083"/>
    <x v="70"/>
    <s v="CUST-0086"/>
    <s v="Customer 86"/>
    <x v="2"/>
    <x v="12"/>
    <n v="2"/>
    <n v="388.67"/>
    <n v="777.34"/>
    <n v="0"/>
    <n v="232.98"/>
    <s v="North"/>
    <s v="Cash"/>
  </r>
  <r>
    <s v="ORD-10084"/>
    <x v="71"/>
    <s v="CUST-0018"/>
    <s v="Customer 18"/>
    <x v="0"/>
    <x v="7"/>
    <n v="7"/>
    <n v="711.43"/>
    <n v="4482.01"/>
    <n v="0.1"/>
    <n v="866.23"/>
    <s v="West"/>
    <s v="Credit Card"/>
  </r>
  <r>
    <s v="ORD-10085"/>
    <x v="72"/>
    <s v="CUST-0006"/>
    <s v="Customer 6"/>
    <x v="2"/>
    <x v="10"/>
    <n v="4"/>
    <n v="462.76"/>
    <n v="1665.94"/>
    <n v="0.1"/>
    <n v="498.64"/>
    <s v="North"/>
    <s v="Bank Transfer"/>
  </r>
  <r>
    <s v="ORD-10086"/>
    <x v="1"/>
    <s v="CUST-0021"/>
    <s v="Customer 21"/>
    <x v="3"/>
    <x v="15"/>
    <n v="6"/>
    <n v="70.84"/>
    <n v="403.79"/>
    <n v="0.05"/>
    <n v="147.16999999999999"/>
    <s v="South"/>
    <s v="Credit Card"/>
  </r>
  <r>
    <s v="ORD-10087"/>
    <x v="73"/>
    <s v="CUST-0040"/>
    <s v="Customer 40"/>
    <x v="0"/>
    <x v="3"/>
    <n v="5"/>
    <n v="1179.29"/>
    <n v="5896.45"/>
    <n v="0"/>
    <n v="1167.8800000000001"/>
    <s v="West"/>
    <s v="Mobile Banking"/>
  </r>
  <r>
    <s v="ORD-10088"/>
    <x v="74"/>
    <s v="CUST-0120"/>
    <s v="Customer 120"/>
    <x v="3"/>
    <x v="18"/>
    <n v="6"/>
    <n v="123.01"/>
    <n v="627.35"/>
    <n v="0.15"/>
    <n v="234.19"/>
    <s v="West"/>
    <s v="Debit Card"/>
  </r>
  <r>
    <s v="ORD-10089"/>
    <x v="75"/>
    <s v="CUST-0070"/>
    <s v="Customer 70"/>
    <x v="0"/>
    <x v="4"/>
    <n v="2"/>
    <n v="405.32"/>
    <n v="770.11"/>
    <n v="0.05"/>
    <n v="150"/>
    <s v="North"/>
    <s v="Cash"/>
  </r>
  <r>
    <s v="ORD-10090"/>
    <x v="76"/>
    <s v="CUST-0064"/>
    <s v="Customer 64"/>
    <x v="0"/>
    <x v="9"/>
    <n v="6"/>
    <n v="707.95"/>
    <n v="4247.7"/>
    <n v="0"/>
    <n v="830.7"/>
    <s v="East"/>
    <s v="Mobile Banking"/>
  </r>
  <r>
    <s v="ORD-10091"/>
    <x v="77"/>
    <s v="CUST-0005"/>
    <s v="Customer 5"/>
    <x v="0"/>
    <x v="9"/>
    <n v="7"/>
    <n v="669.98"/>
    <n v="4689.8599999999997"/>
    <n v="0"/>
    <n v="888.55"/>
    <s v="West"/>
    <s v="Credit Card"/>
  </r>
  <r>
    <s v="ORD-10092"/>
    <x v="78"/>
    <s v="CUST-0009"/>
    <s v="Customer 9"/>
    <x v="0"/>
    <x v="7"/>
    <n v="3"/>
    <n v="580.97"/>
    <n v="1568.62"/>
    <n v="0.1"/>
    <n v="292.02999999999997"/>
    <s v="East"/>
    <s v="Credit Card"/>
  </r>
  <r>
    <s v="ORD-10093"/>
    <x v="79"/>
    <s v="CUST-0050"/>
    <s v="Customer 50"/>
    <x v="3"/>
    <x v="8"/>
    <n v="6"/>
    <n v="168.47"/>
    <n v="808.66"/>
    <n v="0.2"/>
    <n v="310.39999999999998"/>
    <s v="East"/>
    <s v="Mobile Banking"/>
  </r>
  <r>
    <s v="ORD-10094"/>
    <x v="80"/>
    <s v="CUST-0093"/>
    <s v="Customer 93"/>
    <x v="3"/>
    <x v="8"/>
    <n v="3"/>
    <n v="144.79"/>
    <n v="434.37"/>
    <n v="0"/>
    <n v="167.27"/>
    <s v="North"/>
    <s v="Bank Transfer"/>
  </r>
  <r>
    <s v="ORD-10095"/>
    <x v="81"/>
    <s v="CUST-0026"/>
    <s v="Customer 26"/>
    <x v="3"/>
    <x v="11"/>
    <n v="6"/>
    <n v="69.72"/>
    <n v="355.57"/>
    <n v="0.15"/>
    <n v="134.49"/>
    <s v="West"/>
    <s v="Mobile Banking"/>
  </r>
  <r>
    <s v="ORD-10096"/>
    <x v="82"/>
    <s v="CUST-0063"/>
    <s v="Customer 63"/>
    <x v="1"/>
    <x v="13"/>
    <n v="7"/>
    <n v="47.47"/>
    <n v="315.68"/>
    <n v="0.05"/>
    <n v="135.19"/>
    <s v="South"/>
    <s v="Bank Transfer"/>
  </r>
  <r>
    <s v="ORD-10097"/>
    <x v="83"/>
    <s v="CUST-0051"/>
    <s v="Customer 51"/>
    <x v="3"/>
    <x v="11"/>
    <n v="6"/>
    <n v="169.65"/>
    <n v="916.11"/>
    <n v="0.1"/>
    <n v="348.08"/>
    <s v="West"/>
    <s v="Cash"/>
  </r>
  <r>
    <s v="ORD-10098"/>
    <x v="9"/>
    <s v="CUST-0116"/>
    <s v="Customer 116"/>
    <x v="1"/>
    <x v="16"/>
    <n v="6"/>
    <n v="71.83"/>
    <n v="387.88"/>
    <n v="0.1"/>
    <n v="168.9"/>
    <s v="North"/>
    <s v="Bank Transfer"/>
  </r>
  <r>
    <s v="ORD-10099"/>
    <x v="84"/>
    <s v="CUST-0068"/>
    <s v="Customer 68"/>
    <x v="0"/>
    <x v="7"/>
    <n v="6"/>
    <n v="864.03"/>
    <n v="4924.97"/>
    <n v="0.05"/>
    <n v="922.75"/>
    <s v="South"/>
    <s v="Bank Transfer"/>
  </r>
  <r>
    <s v="ORD-10100"/>
    <x v="68"/>
    <s v="CUST-0088"/>
    <s v="Customer 88"/>
    <x v="0"/>
    <x v="4"/>
    <n v="4"/>
    <n v="491.81"/>
    <n v="1770.52"/>
    <n v="0.1"/>
    <n v="363.85"/>
    <s v="East"/>
    <s v="Cash"/>
  </r>
  <r>
    <s v="ORD-10101"/>
    <x v="85"/>
    <s v="CUST-0115"/>
    <s v="Customer 115"/>
    <x v="1"/>
    <x v="2"/>
    <n v="3"/>
    <n v="46.54"/>
    <n v="125.66"/>
    <n v="0.1"/>
    <n v="53.03"/>
    <s v="West"/>
    <s v="Mobile Banking"/>
  </r>
  <r>
    <s v="ORD-10102"/>
    <x v="86"/>
    <s v="CUST-0107"/>
    <s v="Customer 107"/>
    <x v="3"/>
    <x v="17"/>
    <n v="4"/>
    <n v="164.84"/>
    <n v="659.36"/>
    <n v="0"/>
    <n v="255.16"/>
    <s v="North"/>
    <s v="Cash"/>
  </r>
  <r>
    <s v="ORD-10103"/>
    <x v="87"/>
    <s v="CUST-0112"/>
    <s v="Customer 112"/>
    <x v="1"/>
    <x v="19"/>
    <n v="4"/>
    <n v="63.84"/>
    <n v="255.36"/>
    <n v="0"/>
    <n v="107.37"/>
    <s v="North"/>
    <s v="Cash"/>
  </r>
  <r>
    <s v="ORD-10104"/>
    <x v="88"/>
    <s v="CUST-0029"/>
    <s v="Customer 29"/>
    <x v="0"/>
    <x v="7"/>
    <n v="6"/>
    <n v="1122.8800000000001"/>
    <n v="5726.69"/>
    <n v="0.15"/>
    <n v="1125.1500000000001"/>
    <s v="South"/>
    <s v="Bank Transfer"/>
  </r>
  <r>
    <s v="ORD-10105"/>
    <x v="89"/>
    <s v="CUST-0087"/>
    <s v="Customer 87"/>
    <x v="3"/>
    <x v="8"/>
    <n v="1"/>
    <n v="65.13"/>
    <n v="61.87"/>
    <n v="0.05"/>
    <n v="23.71"/>
    <s v="East"/>
    <s v="Bank Transfer"/>
  </r>
  <r>
    <s v="ORD-10106"/>
    <x v="90"/>
    <s v="CUST-0074"/>
    <s v="Customer 74"/>
    <x v="0"/>
    <x v="0"/>
    <n v="4"/>
    <n v="950.65"/>
    <n v="3422.34"/>
    <n v="0.1"/>
    <n v="706.96"/>
    <s v="West"/>
    <s v="Credit Card"/>
  </r>
  <r>
    <s v="ORD-10107"/>
    <x v="91"/>
    <s v="CUST-0091"/>
    <s v="Customer 91"/>
    <x v="3"/>
    <x v="17"/>
    <n v="2"/>
    <n v="165.97"/>
    <n v="298.75"/>
    <n v="0.1"/>
    <n v="116.22"/>
    <s v="East"/>
    <s v="Mobile Banking"/>
  </r>
  <r>
    <s v="ORD-10108"/>
    <x v="92"/>
    <s v="CUST-0070"/>
    <s v="Customer 70"/>
    <x v="0"/>
    <x v="7"/>
    <n v="5"/>
    <n v="1099.94"/>
    <n v="5224.71"/>
    <n v="0.05"/>
    <n v="1006.19"/>
    <s v="South"/>
    <s v="Debit Card"/>
  </r>
  <r>
    <s v="ORD-10109"/>
    <x v="93"/>
    <s v="CUST-0071"/>
    <s v="Customer 71"/>
    <x v="0"/>
    <x v="0"/>
    <n v="1"/>
    <n v="1154.26"/>
    <n v="1154.26"/>
    <n v="0"/>
    <n v="228.04"/>
    <s v="West"/>
    <s v="Bank Transfer"/>
  </r>
  <r>
    <s v="ORD-10110"/>
    <x v="53"/>
    <s v="CUST-0013"/>
    <s v="Customer 13"/>
    <x v="0"/>
    <x v="7"/>
    <n v="6"/>
    <n v="906.2"/>
    <n v="5437.2"/>
    <n v="0"/>
    <n v="995.32"/>
    <s v="West"/>
    <s v="Bank Transfer"/>
  </r>
  <r>
    <s v="ORD-10111"/>
    <x v="94"/>
    <s v="CUST-0016"/>
    <s v="Customer 16"/>
    <x v="1"/>
    <x v="16"/>
    <n v="3"/>
    <n v="8.06"/>
    <n v="21.76"/>
    <n v="0.1"/>
    <n v="9.2799999999999994"/>
    <s v="South"/>
    <s v="Cash"/>
  </r>
  <r>
    <s v="ORD-10112"/>
    <x v="95"/>
    <s v="CUST-0004"/>
    <s v="Customer 4"/>
    <x v="2"/>
    <x v="14"/>
    <n v="1"/>
    <n v="254.02"/>
    <n v="254.02"/>
    <n v="0"/>
    <n v="73.010000000000005"/>
    <s v="South"/>
    <s v="Debit Card"/>
  </r>
  <r>
    <s v="ORD-10113"/>
    <x v="96"/>
    <s v="CUST-0055"/>
    <s v="Customer 55"/>
    <x v="3"/>
    <x v="17"/>
    <n v="4"/>
    <n v="152.44"/>
    <n v="518.29999999999995"/>
    <n v="0.15"/>
    <n v="195.79"/>
    <s v="North"/>
    <s v="Mobile Banking"/>
  </r>
  <r>
    <s v="ORD-10114"/>
    <x v="11"/>
    <s v="CUST-0072"/>
    <s v="Customer 72"/>
    <x v="0"/>
    <x v="3"/>
    <n v="6"/>
    <n v="423.64"/>
    <n v="2287.66"/>
    <n v="0.1"/>
    <n v="419.5"/>
    <s v="West"/>
    <s v="Debit Card"/>
  </r>
  <r>
    <s v="ORD-10115"/>
    <x v="97"/>
    <s v="CUST-0054"/>
    <s v="Customer 54"/>
    <x v="3"/>
    <x v="11"/>
    <n v="5"/>
    <n v="77.900000000000006"/>
    <n v="370.02"/>
    <n v="0.05"/>
    <n v="143.34"/>
    <s v="South"/>
    <s v="Credit Card"/>
  </r>
  <r>
    <s v="ORD-10116"/>
    <x v="98"/>
    <s v="CUST-0019"/>
    <s v="Customer 19"/>
    <x v="0"/>
    <x v="3"/>
    <n v="4"/>
    <n v="780.44"/>
    <n v="2809.58"/>
    <n v="0.1"/>
    <n v="513.26"/>
    <s v="North"/>
    <s v="Cash"/>
  </r>
  <r>
    <s v="ORD-10117"/>
    <x v="99"/>
    <s v="CUST-0087"/>
    <s v="Customer 87"/>
    <x v="0"/>
    <x v="9"/>
    <n v="7"/>
    <n v="339.97"/>
    <n v="2141.81"/>
    <n v="0.1"/>
    <n v="423.47"/>
    <s v="South"/>
    <s v="Credit Card"/>
  </r>
  <r>
    <s v="ORD-10118"/>
    <x v="31"/>
    <s v="CUST-0116"/>
    <s v="Customer 116"/>
    <x v="2"/>
    <x v="5"/>
    <n v="2"/>
    <n v="541.62"/>
    <n v="1083.24"/>
    <n v="0"/>
    <n v="307.58"/>
    <s v="West"/>
    <s v="Mobile Banking"/>
  </r>
  <r>
    <s v="ORD-10119"/>
    <x v="42"/>
    <s v="CUST-0081"/>
    <s v="Customer 81"/>
    <x v="3"/>
    <x v="18"/>
    <n v="6"/>
    <n v="135.57"/>
    <n v="732.08"/>
    <n v="0.1"/>
    <n v="276.67"/>
    <s v="North"/>
    <s v="Mobile Banking"/>
  </r>
  <r>
    <s v="ORD-10120"/>
    <x v="100"/>
    <s v="CUST-0109"/>
    <s v="Customer 109"/>
    <x v="2"/>
    <x v="10"/>
    <n v="2"/>
    <n v="212.45"/>
    <n v="424.9"/>
    <n v="0"/>
    <n v="120.06"/>
    <s v="North"/>
    <s v="Debit Card"/>
  </r>
  <r>
    <s v="ORD-10121"/>
    <x v="101"/>
    <s v="CUST-0037"/>
    <s v="Customer 37"/>
    <x v="2"/>
    <x v="10"/>
    <n v="1"/>
    <n v="363.3"/>
    <n v="326.97000000000003"/>
    <n v="0.1"/>
    <n v="100.32"/>
    <s v="South"/>
    <s v="Bank Transfer"/>
  </r>
  <r>
    <s v="ORD-10122"/>
    <x v="48"/>
    <s v="CUST-0098"/>
    <s v="Customer 98"/>
    <x v="0"/>
    <x v="3"/>
    <n v="4"/>
    <n v="768.89"/>
    <n v="2921.78"/>
    <n v="0.05"/>
    <n v="563.32000000000005"/>
    <s v="North"/>
    <s v="Debit Card"/>
  </r>
  <r>
    <s v="ORD-10123"/>
    <x v="102"/>
    <s v="CUST-0064"/>
    <s v="Customer 64"/>
    <x v="2"/>
    <x v="10"/>
    <n v="2"/>
    <n v="141.41"/>
    <n v="254.54"/>
    <n v="0.1"/>
    <n v="78.28"/>
    <s v="West"/>
    <s v="Mobile Banking"/>
  </r>
  <r>
    <s v="ORD-10124"/>
    <x v="103"/>
    <s v="CUST-0040"/>
    <s v="Customer 40"/>
    <x v="0"/>
    <x v="0"/>
    <n v="3"/>
    <n v="442.92"/>
    <n v="1195.8800000000001"/>
    <n v="0.1"/>
    <n v="240.48"/>
    <s v="East"/>
    <s v="Debit Card"/>
  </r>
  <r>
    <s v="ORD-10125"/>
    <x v="104"/>
    <s v="CUST-0033"/>
    <s v="Customer 33"/>
    <x v="2"/>
    <x v="6"/>
    <n v="2"/>
    <n v="50.89"/>
    <n v="101.78"/>
    <n v="0"/>
    <n v="29.73"/>
    <s v="East"/>
    <s v="Credit Card"/>
  </r>
  <r>
    <s v="ORD-10126"/>
    <x v="105"/>
    <s v="CUST-0026"/>
    <s v="Customer 26"/>
    <x v="2"/>
    <x v="6"/>
    <n v="2"/>
    <n v="101.42"/>
    <n v="202.84"/>
    <n v="0"/>
    <n v="58.45"/>
    <s v="North"/>
    <s v="Bank Transfer"/>
  </r>
  <r>
    <s v="ORD-10127"/>
    <x v="106"/>
    <s v="CUST-0039"/>
    <s v="Customer 39"/>
    <x v="1"/>
    <x v="2"/>
    <n v="3"/>
    <n v="66.069999999999993"/>
    <n v="178.39"/>
    <n v="0.1"/>
    <n v="74.77"/>
    <s v="South"/>
    <s v="Debit Card"/>
  </r>
  <r>
    <s v="ORD-10128"/>
    <x v="107"/>
    <s v="CUST-0059"/>
    <s v="Customer 59"/>
    <x v="0"/>
    <x v="0"/>
    <n v="3"/>
    <n v="1155.47"/>
    <n v="3119.77"/>
    <n v="0.1"/>
    <n v="590.52"/>
    <s v="North"/>
    <s v="Cash"/>
  </r>
  <r>
    <s v="ORD-10129"/>
    <x v="5"/>
    <s v="CUST-0095"/>
    <s v="Customer 95"/>
    <x v="2"/>
    <x v="14"/>
    <n v="5"/>
    <n v="538.54999999999995"/>
    <n v="2423.48"/>
    <n v="0.1"/>
    <n v="704.95"/>
    <s v="West"/>
    <s v="Credit Card"/>
  </r>
  <r>
    <s v="ORD-10130"/>
    <x v="32"/>
    <s v="CUST-0059"/>
    <s v="Customer 59"/>
    <x v="3"/>
    <x v="8"/>
    <n v="2"/>
    <n v="16.87"/>
    <n v="30.37"/>
    <n v="0.1"/>
    <n v="11.8"/>
    <s v="West"/>
    <s v="Credit Card"/>
  </r>
  <r>
    <s v="ORD-10131"/>
    <x v="108"/>
    <s v="CUST-0007"/>
    <s v="Customer 7"/>
    <x v="0"/>
    <x v="0"/>
    <n v="6"/>
    <n v="166.61"/>
    <n v="899.69"/>
    <n v="0.1"/>
    <n v="183.74"/>
    <s v="West"/>
    <s v="Debit Card"/>
  </r>
  <r>
    <s v="ORD-10132"/>
    <x v="109"/>
    <s v="CUST-0095"/>
    <s v="Customer 95"/>
    <x v="2"/>
    <x v="6"/>
    <n v="6"/>
    <n v="66.77"/>
    <n v="380.59"/>
    <n v="0.05"/>
    <n v="112.02"/>
    <s v="East"/>
    <s v="Credit Card"/>
  </r>
  <r>
    <s v="ORD-10133"/>
    <x v="110"/>
    <s v="CUST-0060"/>
    <s v="Customer 60"/>
    <x v="1"/>
    <x v="1"/>
    <n v="5"/>
    <n v="8.93"/>
    <n v="40.18"/>
    <n v="0.1"/>
    <n v="17.27"/>
    <s v="East"/>
    <s v="Cash"/>
  </r>
  <r>
    <s v="ORD-10134"/>
    <x v="27"/>
    <s v="CUST-0093"/>
    <s v="Customer 93"/>
    <x v="2"/>
    <x v="12"/>
    <n v="6"/>
    <n v="243.56"/>
    <n v="1315.22"/>
    <n v="0.1"/>
    <n v="372.76"/>
    <s v="South"/>
    <s v="Cash"/>
  </r>
  <r>
    <s v="ORD-10135"/>
    <x v="65"/>
    <s v="CUST-0034"/>
    <s v="Customer 34"/>
    <x v="0"/>
    <x v="3"/>
    <n v="6"/>
    <n v="25.28"/>
    <n v="151.68"/>
    <n v="0"/>
    <n v="30.11"/>
    <s v="West"/>
    <s v="Mobile Banking"/>
  </r>
  <r>
    <s v="ORD-10136"/>
    <x v="100"/>
    <s v="CUST-0062"/>
    <s v="Customer 62"/>
    <x v="0"/>
    <x v="4"/>
    <n v="1"/>
    <n v="497.27"/>
    <n v="472.41"/>
    <n v="0.05"/>
    <n v="90.31"/>
    <s v="West"/>
    <s v="Cash"/>
  </r>
  <r>
    <s v="ORD-10137"/>
    <x v="111"/>
    <s v="CUST-0084"/>
    <s v="Customer 84"/>
    <x v="3"/>
    <x v="17"/>
    <n v="5"/>
    <n v="133.94999999999999"/>
    <n v="669.75"/>
    <n v="0"/>
    <n v="251.81"/>
    <s v="West"/>
    <s v="Debit Card"/>
  </r>
  <r>
    <s v="ORD-10138"/>
    <x v="112"/>
    <s v="CUST-0048"/>
    <s v="Customer 48"/>
    <x v="0"/>
    <x v="0"/>
    <n v="1"/>
    <n v="1094.6500000000001"/>
    <n v="1094.6500000000001"/>
    <n v="0"/>
    <n v="226.28"/>
    <s v="North"/>
    <s v="Cash"/>
  </r>
  <r>
    <s v="ORD-10139"/>
    <x v="113"/>
    <s v="CUST-0061"/>
    <s v="Customer 61"/>
    <x v="0"/>
    <x v="9"/>
    <n v="5"/>
    <n v="130.06"/>
    <n v="617.78"/>
    <n v="0.05"/>
    <n v="113.44"/>
    <s v="South"/>
    <s v="Mobile Banking"/>
  </r>
  <r>
    <s v="ORD-10140"/>
    <x v="112"/>
    <s v="CUST-0071"/>
    <s v="Customer 71"/>
    <x v="3"/>
    <x v="17"/>
    <n v="4"/>
    <n v="19.18"/>
    <n v="72.88"/>
    <n v="0.05"/>
    <n v="26.59"/>
    <s v="South"/>
    <s v="Bank Transfer"/>
  </r>
  <r>
    <s v="ORD-10141"/>
    <x v="114"/>
    <s v="CUST-0098"/>
    <s v="Customer 98"/>
    <x v="3"/>
    <x v="17"/>
    <n v="1"/>
    <n v="45.92"/>
    <n v="45.92"/>
    <n v="0"/>
    <n v="16.829999999999998"/>
    <s v="South"/>
    <s v="Bank Transfer"/>
  </r>
  <r>
    <s v="ORD-10142"/>
    <x v="115"/>
    <s v="CUST-0099"/>
    <s v="Customer 99"/>
    <x v="0"/>
    <x v="7"/>
    <n v="4"/>
    <n v="1194.02"/>
    <n v="4776.08"/>
    <n v="0"/>
    <n v="946.2"/>
    <s v="South"/>
    <s v="Debit Card"/>
  </r>
  <r>
    <s v="ORD-10143"/>
    <x v="18"/>
    <s v="CUST-0099"/>
    <s v="Customer 99"/>
    <x v="1"/>
    <x v="1"/>
    <n v="6"/>
    <n v="50.97"/>
    <n v="275.24"/>
    <n v="0.1"/>
    <n v="120.82"/>
    <s v="West"/>
    <s v="Bank Transfer"/>
  </r>
  <r>
    <s v="ORD-10144"/>
    <x v="116"/>
    <s v="CUST-0092"/>
    <s v="Customer 92"/>
    <x v="0"/>
    <x v="7"/>
    <n v="5"/>
    <n v="1069.28"/>
    <n v="4277.12"/>
    <n v="0.2"/>
    <n v="787.57"/>
    <s v="North"/>
    <s v="Credit Card"/>
  </r>
  <r>
    <s v="ORD-10145"/>
    <x v="61"/>
    <s v="CUST-0088"/>
    <s v="Customer 88"/>
    <x v="2"/>
    <x v="14"/>
    <n v="4"/>
    <n v="279.7"/>
    <n v="1118.8"/>
    <n v="0"/>
    <n v="322.55"/>
    <s v="South"/>
    <s v="Debit Card"/>
  </r>
  <r>
    <s v="ORD-10146"/>
    <x v="25"/>
    <s v="CUST-0077"/>
    <s v="Customer 77"/>
    <x v="0"/>
    <x v="4"/>
    <n v="4"/>
    <n v="114.45"/>
    <n v="389.13"/>
    <n v="0.15"/>
    <n v="75.94"/>
    <s v="West"/>
    <s v="Bank Transfer"/>
  </r>
  <r>
    <s v="ORD-10147"/>
    <x v="117"/>
    <s v="CUST-0040"/>
    <s v="Customer 40"/>
    <x v="3"/>
    <x v="11"/>
    <n v="2"/>
    <n v="101.53"/>
    <n v="172.6"/>
    <n v="0.15"/>
    <n v="63.51"/>
    <s v="West"/>
    <s v="Mobile Banking"/>
  </r>
  <r>
    <s v="ORD-10148"/>
    <x v="118"/>
    <s v="CUST-0059"/>
    <s v="Customer 59"/>
    <x v="3"/>
    <x v="8"/>
    <n v="3"/>
    <n v="35.590000000000003"/>
    <n v="101.43"/>
    <n v="0.05"/>
    <n v="38.83"/>
    <s v="North"/>
    <s v="Debit Card"/>
  </r>
  <r>
    <s v="ORD-10149"/>
    <x v="119"/>
    <s v="CUST-0007"/>
    <s v="Customer 7"/>
    <x v="0"/>
    <x v="3"/>
    <n v="5"/>
    <n v="1060.02"/>
    <n v="4505.08"/>
    <n v="0.15"/>
    <n v="942.11"/>
    <s v="East"/>
    <s v="Debit Card"/>
  </r>
  <r>
    <s v="ORD-10150"/>
    <x v="120"/>
    <s v="CUST-0039"/>
    <s v="Customer 39"/>
    <x v="0"/>
    <x v="3"/>
    <n v="7"/>
    <n v="26.32"/>
    <n v="165.82"/>
    <n v="0.1"/>
    <n v="31.06"/>
    <s v="West"/>
    <s v="Debit Card"/>
  </r>
  <r>
    <s v="ORD-10151"/>
    <x v="121"/>
    <s v="CUST-0105"/>
    <s v="Customer 105"/>
    <x v="0"/>
    <x v="3"/>
    <n v="1"/>
    <n v="161.12"/>
    <n v="153.06"/>
    <n v="0.05"/>
    <n v="32.1"/>
    <s v="North"/>
    <s v="Mobile Banking"/>
  </r>
  <r>
    <s v="ORD-10152"/>
    <x v="122"/>
    <s v="CUST-0105"/>
    <s v="Customer 105"/>
    <x v="0"/>
    <x v="3"/>
    <n v="2"/>
    <n v="426.7"/>
    <n v="768.06"/>
    <n v="0.1"/>
    <n v="139.82"/>
    <s v="North"/>
    <s v="Cash"/>
  </r>
  <r>
    <s v="ORD-10153"/>
    <x v="123"/>
    <s v="CUST-0068"/>
    <s v="Customer 68"/>
    <x v="0"/>
    <x v="4"/>
    <n v="3"/>
    <n v="220.49"/>
    <n v="595.32000000000005"/>
    <n v="0.1"/>
    <n v="112.36"/>
    <s v="South"/>
    <s v="Credit Card"/>
  </r>
  <r>
    <s v="ORD-10154"/>
    <x v="91"/>
    <s v="CUST-0050"/>
    <s v="Customer 50"/>
    <x v="0"/>
    <x v="3"/>
    <n v="6"/>
    <n v="1168.8499999999999"/>
    <n v="5610.48"/>
    <n v="0.2"/>
    <n v="1052.02"/>
    <s v="East"/>
    <s v="Cash"/>
  </r>
  <r>
    <s v="ORD-10155"/>
    <x v="124"/>
    <s v="CUST-0006"/>
    <s v="Customer 6"/>
    <x v="1"/>
    <x v="16"/>
    <n v="7"/>
    <n v="40.630000000000003"/>
    <n v="255.97"/>
    <n v="0.1"/>
    <n v="107.38"/>
    <s v="South"/>
    <s v="Debit Card"/>
  </r>
  <r>
    <s v="ORD-10156"/>
    <x v="27"/>
    <s v="CUST-0081"/>
    <s v="Customer 81"/>
    <x v="0"/>
    <x v="0"/>
    <n v="3"/>
    <n v="555.38"/>
    <n v="1666.14"/>
    <n v="0"/>
    <n v="310.16000000000003"/>
    <s v="North"/>
    <s v="Mobile Banking"/>
  </r>
  <r>
    <s v="ORD-10157"/>
    <x v="125"/>
    <s v="CUST-0078"/>
    <s v="Customer 78"/>
    <x v="0"/>
    <x v="9"/>
    <n v="4"/>
    <n v="794.05"/>
    <n v="3176.2"/>
    <n v="0"/>
    <n v="576.4"/>
    <s v="West"/>
    <s v="Cash"/>
  </r>
  <r>
    <s v="ORD-10158"/>
    <x v="126"/>
    <s v="CUST-0006"/>
    <s v="Customer 6"/>
    <x v="1"/>
    <x v="16"/>
    <n v="3"/>
    <n v="24.11"/>
    <n v="57.86"/>
    <n v="0.2"/>
    <n v="24.75"/>
    <s v="West"/>
    <s v="Debit Card"/>
  </r>
  <r>
    <s v="ORD-10159"/>
    <x v="127"/>
    <s v="CUST-0024"/>
    <s v="Customer 24"/>
    <x v="0"/>
    <x v="7"/>
    <n v="4"/>
    <n v="686.23"/>
    <n v="2607.67"/>
    <n v="0.05"/>
    <n v="505.11"/>
    <s v="West"/>
    <s v="Credit Card"/>
  </r>
  <r>
    <s v="ORD-10160"/>
    <x v="128"/>
    <s v="CUST-0079"/>
    <s v="Customer 79"/>
    <x v="3"/>
    <x v="15"/>
    <n v="3"/>
    <n v="153.30000000000001"/>
    <n v="413.91"/>
    <n v="0.1"/>
    <n v="153.65"/>
    <s v="West"/>
    <s v="Cash"/>
  </r>
  <r>
    <s v="ORD-10161"/>
    <x v="102"/>
    <s v="CUST-0015"/>
    <s v="Customer 15"/>
    <x v="0"/>
    <x v="4"/>
    <n v="1"/>
    <n v="26.45"/>
    <n v="23.8"/>
    <n v="0.1"/>
    <n v="4.5599999999999996"/>
    <s v="West"/>
    <s v="Cash"/>
  </r>
  <r>
    <s v="ORD-10162"/>
    <x v="95"/>
    <s v="CUST-0086"/>
    <s v="Customer 86"/>
    <x v="2"/>
    <x v="12"/>
    <n v="6"/>
    <n v="248.37"/>
    <n v="1341.2"/>
    <n v="0.1"/>
    <n v="398.34"/>
    <s v="West"/>
    <s v="Bank Transfer"/>
  </r>
  <r>
    <s v="ORD-10163"/>
    <x v="69"/>
    <s v="CUST-0094"/>
    <s v="Customer 94"/>
    <x v="0"/>
    <x v="0"/>
    <n v="2"/>
    <n v="588.92999999999995"/>
    <n v="1060.07"/>
    <n v="0.1"/>
    <n v="213.34"/>
    <s v="North"/>
    <s v="Credit Card"/>
  </r>
  <r>
    <s v="ORD-10164"/>
    <x v="103"/>
    <s v="CUST-0086"/>
    <s v="Customer 86"/>
    <x v="3"/>
    <x v="18"/>
    <n v="3"/>
    <n v="26.05"/>
    <n v="78.150000000000006"/>
    <n v="0"/>
    <n v="28.17"/>
    <s v="West"/>
    <s v="Cash"/>
  </r>
  <r>
    <s v="ORD-10165"/>
    <x v="123"/>
    <s v="CUST-0097"/>
    <s v="Customer 97"/>
    <x v="1"/>
    <x v="2"/>
    <n v="2"/>
    <n v="44.14"/>
    <n v="75.040000000000006"/>
    <n v="0.15"/>
    <n v="32.83"/>
    <s v="North"/>
    <s v="Cash"/>
  </r>
  <r>
    <s v="ORD-10166"/>
    <x v="129"/>
    <s v="CUST-0103"/>
    <s v="Customer 103"/>
    <x v="0"/>
    <x v="9"/>
    <n v="2"/>
    <n v="835.12"/>
    <n v="1419.7"/>
    <n v="0.15"/>
    <n v="289.61"/>
    <s v="East"/>
    <s v="Cash"/>
  </r>
  <r>
    <s v="ORD-10167"/>
    <x v="130"/>
    <s v="CUST-0067"/>
    <s v="Customer 67"/>
    <x v="0"/>
    <x v="3"/>
    <n v="3"/>
    <n v="62.11"/>
    <n v="158.38"/>
    <n v="0.15"/>
    <n v="33.01"/>
    <s v="West"/>
    <s v="Credit Card"/>
  </r>
  <r>
    <s v="ORD-10168"/>
    <x v="131"/>
    <s v="CUST-0062"/>
    <s v="Customer 62"/>
    <x v="1"/>
    <x v="2"/>
    <n v="4"/>
    <n v="29.14"/>
    <n v="99.08"/>
    <n v="0.15"/>
    <n v="43.36"/>
    <s v="West"/>
    <s v="Cash"/>
  </r>
  <r>
    <s v="ORD-10169"/>
    <x v="132"/>
    <s v="CUST-0041"/>
    <s v="Customer 41"/>
    <x v="1"/>
    <x v="2"/>
    <n v="4"/>
    <n v="59.33"/>
    <n v="237.32"/>
    <n v="0"/>
    <n v="103.99"/>
    <s v="East"/>
    <s v="Cash"/>
  </r>
  <r>
    <s v="ORD-10170"/>
    <x v="13"/>
    <s v="CUST-0019"/>
    <s v="Customer 19"/>
    <x v="0"/>
    <x v="0"/>
    <n v="7"/>
    <n v="577.46"/>
    <n v="3638"/>
    <n v="0.1"/>
    <n v="668.83"/>
    <s v="North"/>
    <s v="Mobile Banking"/>
  </r>
  <r>
    <s v="ORD-10171"/>
    <x v="133"/>
    <s v="CUST-0022"/>
    <s v="Customer 22"/>
    <x v="0"/>
    <x v="9"/>
    <n v="5"/>
    <n v="1195.69"/>
    <n v="4782.76"/>
    <n v="0.2"/>
    <n v="911.07"/>
    <s v="South"/>
    <s v="Mobile Banking"/>
  </r>
  <r>
    <s v="ORD-10172"/>
    <x v="134"/>
    <s v="CUST-0097"/>
    <s v="Customer 97"/>
    <x v="1"/>
    <x v="16"/>
    <n v="7"/>
    <n v="38.619999999999997"/>
    <n v="229.79"/>
    <n v="0.15"/>
    <n v="96.09"/>
    <s v="North"/>
    <s v="Cash"/>
  </r>
  <r>
    <s v="ORD-10173"/>
    <x v="3"/>
    <s v="CUST-0020"/>
    <s v="Customer 20"/>
    <x v="1"/>
    <x v="19"/>
    <n v="4"/>
    <n v="6.09"/>
    <n v="20.71"/>
    <n v="0.15"/>
    <n v="8.75"/>
    <s v="West"/>
    <s v="Debit Card"/>
  </r>
  <r>
    <s v="ORD-10174"/>
    <x v="135"/>
    <s v="CUST-0079"/>
    <s v="Customer 79"/>
    <x v="1"/>
    <x v="19"/>
    <n v="2"/>
    <n v="64.06"/>
    <n v="115.31"/>
    <n v="0.1"/>
    <n v="47.3"/>
    <s v="South"/>
    <s v="Bank Transfer"/>
  </r>
  <r>
    <s v="ORD-10175"/>
    <x v="136"/>
    <s v="CUST-0040"/>
    <s v="Customer 40"/>
    <x v="0"/>
    <x v="0"/>
    <n v="5"/>
    <n v="886.41"/>
    <n v="4432.05"/>
    <n v="0"/>
    <n v="835.55"/>
    <s v="West"/>
    <s v="Debit Card"/>
  </r>
  <r>
    <s v="ORD-10176"/>
    <x v="113"/>
    <s v="CUST-0069"/>
    <s v="Customer 69"/>
    <x v="0"/>
    <x v="9"/>
    <n v="6"/>
    <n v="603.42999999999995"/>
    <n v="3620.58"/>
    <n v="0"/>
    <n v="665.74"/>
    <s v="East"/>
    <s v="Credit Card"/>
  </r>
  <r>
    <s v="ORD-10177"/>
    <x v="137"/>
    <s v="CUST-0028"/>
    <s v="Customer 28"/>
    <x v="1"/>
    <x v="13"/>
    <n v="2"/>
    <n v="69.06"/>
    <n v="138.12"/>
    <n v="0"/>
    <n v="58.33"/>
    <s v="West"/>
    <s v="Cash"/>
  </r>
  <r>
    <s v="ORD-10178"/>
    <x v="77"/>
    <s v="CUST-0067"/>
    <s v="Customer 67"/>
    <x v="3"/>
    <x v="11"/>
    <n v="6"/>
    <n v="37.200000000000003"/>
    <n v="212.04"/>
    <n v="0.05"/>
    <n v="80.55"/>
    <s v="South"/>
    <s v="Credit Card"/>
  </r>
  <r>
    <s v="ORD-10179"/>
    <x v="5"/>
    <s v="CUST-0043"/>
    <s v="Customer 43"/>
    <x v="2"/>
    <x v="5"/>
    <n v="4"/>
    <n v="503.54"/>
    <n v="2014.16"/>
    <n v="0"/>
    <n v="614.26"/>
    <s v="North"/>
    <s v="Mobile Banking"/>
  </r>
  <r>
    <s v="ORD-10180"/>
    <x v="138"/>
    <s v="CUST-0037"/>
    <s v="Customer 37"/>
    <x v="1"/>
    <x v="16"/>
    <n v="1"/>
    <n v="68"/>
    <n v="57.8"/>
    <n v="0.15"/>
    <n v="24.42"/>
    <s v="East"/>
    <s v="Cash"/>
  </r>
  <r>
    <s v="ORD-10181"/>
    <x v="139"/>
    <s v="CUST-0002"/>
    <s v="Customer 2"/>
    <x v="2"/>
    <x v="5"/>
    <n v="1"/>
    <n v="385.88"/>
    <n v="328"/>
    <n v="0.15"/>
    <n v="101.29"/>
    <s v="East"/>
    <s v="Mobile Banking"/>
  </r>
  <r>
    <s v="ORD-10182"/>
    <x v="140"/>
    <s v="CUST-0069"/>
    <s v="Customer 69"/>
    <x v="2"/>
    <x v="6"/>
    <n v="1"/>
    <n v="369.85"/>
    <n v="369.85"/>
    <n v="0"/>
    <n v="113.01"/>
    <s v="North"/>
    <s v="Debit Card"/>
  </r>
  <r>
    <s v="ORD-10183"/>
    <x v="50"/>
    <s v="CUST-0098"/>
    <s v="Customer 98"/>
    <x v="3"/>
    <x v="11"/>
    <n v="1"/>
    <n v="117.93"/>
    <n v="100.24"/>
    <n v="0.15"/>
    <n v="37.729999999999997"/>
    <s v="East"/>
    <s v="Mobile Banking"/>
  </r>
  <r>
    <s v="ORD-10184"/>
    <x v="141"/>
    <s v="CUST-0084"/>
    <s v="Customer 84"/>
    <x v="2"/>
    <x v="5"/>
    <n v="7"/>
    <n v="50.08"/>
    <n v="333.03"/>
    <n v="0.05"/>
    <n v="96.2"/>
    <s v="South"/>
    <s v="Cash"/>
  </r>
  <r>
    <s v="ORD-10185"/>
    <x v="38"/>
    <s v="CUST-0001"/>
    <s v="Customer 1"/>
    <x v="1"/>
    <x v="2"/>
    <n v="7"/>
    <n v="54.79"/>
    <n v="364.35"/>
    <n v="0.05"/>
    <n v="150.82"/>
    <s v="South"/>
    <s v="Debit Card"/>
  </r>
  <r>
    <s v="ORD-10186"/>
    <x v="142"/>
    <s v="CUST-0082"/>
    <s v="Customer 82"/>
    <x v="1"/>
    <x v="2"/>
    <n v="1"/>
    <n v="66.98"/>
    <n v="56.93"/>
    <n v="0.15"/>
    <n v="23.74"/>
    <s v="East"/>
    <s v="Credit Card"/>
  </r>
  <r>
    <s v="ORD-10187"/>
    <x v="58"/>
    <s v="CUST-0019"/>
    <s v="Customer 19"/>
    <x v="1"/>
    <x v="13"/>
    <n v="7"/>
    <n v="53.73"/>
    <n v="357.3"/>
    <n v="0.05"/>
    <n v="150.22999999999999"/>
    <s v="South"/>
    <s v="Cash"/>
  </r>
  <r>
    <s v="ORD-10188"/>
    <x v="29"/>
    <s v="CUST-0041"/>
    <s v="Customer 41"/>
    <x v="0"/>
    <x v="7"/>
    <n v="1"/>
    <n v="1048.1400000000001"/>
    <n v="943.33"/>
    <n v="0.1"/>
    <n v="182.05"/>
    <s v="North"/>
    <s v="Mobile Banking"/>
  </r>
  <r>
    <s v="ORD-10189"/>
    <x v="143"/>
    <s v="CUST-0110"/>
    <s v="Customer 110"/>
    <x v="3"/>
    <x v="15"/>
    <n v="4"/>
    <n v="122.83"/>
    <n v="417.62"/>
    <n v="0.15"/>
    <n v="153.32"/>
    <s v="North"/>
    <s v="Mobile Banking"/>
  </r>
  <r>
    <s v="ORD-10190"/>
    <x v="144"/>
    <s v="CUST-0054"/>
    <s v="Customer 54"/>
    <x v="3"/>
    <x v="18"/>
    <n v="7"/>
    <n v="8.99"/>
    <n v="59.78"/>
    <n v="0.05"/>
    <n v="22.66"/>
    <s v="East"/>
    <s v="Bank Transfer"/>
  </r>
  <r>
    <s v="ORD-10191"/>
    <x v="52"/>
    <s v="CUST-0096"/>
    <s v="Customer 96"/>
    <x v="2"/>
    <x v="6"/>
    <n v="1"/>
    <n v="327.76"/>
    <n v="327.76"/>
    <n v="0"/>
    <n v="95.83"/>
    <s v="West"/>
    <s v="Debit Card"/>
  </r>
  <r>
    <s v="ORD-10192"/>
    <x v="132"/>
    <s v="CUST-0085"/>
    <s v="Customer 85"/>
    <x v="1"/>
    <x v="13"/>
    <n v="2"/>
    <n v="76.260000000000005"/>
    <n v="129.63999999999999"/>
    <n v="0.15"/>
    <n v="53.49"/>
    <s v="North"/>
    <s v="Debit Card"/>
  </r>
  <r>
    <s v="ORD-10193"/>
    <x v="145"/>
    <s v="CUST-0037"/>
    <s v="Customer 37"/>
    <x v="0"/>
    <x v="0"/>
    <n v="7"/>
    <n v="651.98"/>
    <n v="4107.47"/>
    <n v="0.1"/>
    <n v="768.32"/>
    <s v="South"/>
    <s v="Debit Card"/>
  </r>
  <r>
    <s v="ORD-10194"/>
    <x v="146"/>
    <s v="CUST-0023"/>
    <s v="Customer 23"/>
    <x v="1"/>
    <x v="1"/>
    <n v="3"/>
    <n v="3.58"/>
    <n v="9.67"/>
    <n v="0.1"/>
    <n v="3.99"/>
    <s v="North"/>
    <s v="Cash"/>
  </r>
  <r>
    <s v="ORD-10195"/>
    <x v="147"/>
    <s v="CUST-0013"/>
    <s v="Customer 13"/>
    <x v="3"/>
    <x v="8"/>
    <n v="6"/>
    <n v="41.46"/>
    <n v="248.76"/>
    <n v="0"/>
    <n v="92.41"/>
    <s v="North"/>
    <s v="Cash"/>
  </r>
  <r>
    <s v="ORD-10196"/>
    <x v="148"/>
    <s v="CUST-0028"/>
    <s v="Customer 28"/>
    <x v="1"/>
    <x v="16"/>
    <n v="3"/>
    <n v="47.73"/>
    <n v="143.19"/>
    <n v="0"/>
    <n v="59.92"/>
    <s v="South"/>
    <s v="Credit Card"/>
  </r>
  <r>
    <s v="ORD-10197"/>
    <x v="137"/>
    <s v="CUST-0094"/>
    <s v="Customer 94"/>
    <x v="3"/>
    <x v="17"/>
    <n v="3"/>
    <n v="29.19"/>
    <n v="74.430000000000007"/>
    <n v="0.15"/>
    <n v="27.24"/>
    <s v="East"/>
    <s v="Credit Card"/>
  </r>
  <r>
    <s v="ORD-10198"/>
    <x v="149"/>
    <s v="CUST-0084"/>
    <s v="Customer 84"/>
    <x v="2"/>
    <x v="10"/>
    <n v="4"/>
    <n v="88.32"/>
    <n v="300.29000000000002"/>
    <n v="0.15"/>
    <n v="89.73"/>
    <s v="North"/>
    <s v="Debit Card"/>
  </r>
  <r>
    <s v="ORD-10199"/>
    <x v="150"/>
    <s v="CUST-0021"/>
    <s v="Customer 21"/>
    <x v="0"/>
    <x v="0"/>
    <n v="6"/>
    <n v="722.41"/>
    <n v="3901.01"/>
    <n v="0.1"/>
    <n v="743.54"/>
    <s v="West"/>
    <s v="Debit Card"/>
  </r>
  <r>
    <s v="ORD-10200"/>
    <x v="151"/>
    <s v="CUST-0024"/>
    <s v="Customer 24"/>
    <x v="0"/>
    <x v="9"/>
    <n v="1"/>
    <n v="303.32"/>
    <n v="272.99"/>
    <n v="0.1"/>
    <n v="55.08"/>
    <s v="East"/>
    <s v="Cash"/>
  </r>
  <r>
    <s v="ORD-10201"/>
    <x v="137"/>
    <s v="CUST-0018"/>
    <s v="Customer 18"/>
    <x v="2"/>
    <x v="10"/>
    <n v="3"/>
    <n v="447.99"/>
    <n v="1276.77"/>
    <n v="0.05"/>
    <n v="373.33"/>
    <s v="East"/>
    <s v="Credit Card"/>
  </r>
  <r>
    <s v="ORD-10202"/>
    <x v="29"/>
    <s v="CUST-0119"/>
    <s v="Customer 119"/>
    <x v="1"/>
    <x v="2"/>
    <n v="5"/>
    <n v="10.37"/>
    <n v="51.85"/>
    <n v="0"/>
    <n v="21.82"/>
    <s v="West"/>
    <s v="Mobile Banking"/>
  </r>
  <r>
    <s v="ORD-10203"/>
    <x v="84"/>
    <s v="CUST-0025"/>
    <s v="Customer 25"/>
    <x v="0"/>
    <x v="0"/>
    <n v="2"/>
    <n v="347.58"/>
    <n v="625.64"/>
    <n v="0.1"/>
    <n v="118.7"/>
    <s v="South"/>
    <s v="Bank Transfer"/>
  </r>
  <r>
    <s v="ORD-10204"/>
    <x v="152"/>
    <s v="CUST-0060"/>
    <s v="Customer 60"/>
    <x v="1"/>
    <x v="13"/>
    <n v="6"/>
    <n v="11.02"/>
    <n v="59.51"/>
    <n v="0.1"/>
    <n v="25.15"/>
    <s v="East"/>
    <s v="Bank Transfer"/>
  </r>
  <r>
    <s v="ORD-10205"/>
    <x v="118"/>
    <s v="CUST-0036"/>
    <s v="Customer 36"/>
    <x v="0"/>
    <x v="0"/>
    <n v="3"/>
    <n v="496.4"/>
    <n v="1414.74"/>
    <n v="0.05"/>
    <n v="282.51"/>
    <s v="East"/>
    <s v="Cash"/>
  </r>
  <r>
    <s v="ORD-10206"/>
    <x v="17"/>
    <s v="CUST-0060"/>
    <s v="Customer 60"/>
    <x v="2"/>
    <x v="5"/>
    <n v="5"/>
    <n v="76.849999999999994"/>
    <n v="345.82"/>
    <n v="0.1"/>
    <n v="104.39"/>
    <s v="West"/>
    <s v="Debit Card"/>
  </r>
  <r>
    <s v="ORD-10207"/>
    <x v="35"/>
    <s v="CUST-0003"/>
    <s v="Customer 3"/>
    <x v="1"/>
    <x v="19"/>
    <n v="6"/>
    <n v="54.55"/>
    <n v="261.83999999999997"/>
    <n v="0.2"/>
    <n v="110.01"/>
    <s v="North"/>
    <s v="Mobile Banking"/>
  </r>
  <r>
    <s v="ORD-10208"/>
    <x v="5"/>
    <s v="CUST-0022"/>
    <s v="Customer 22"/>
    <x v="1"/>
    <x v="19"/>
    <n v="4"/>
    <n v="9.84"/>
    <n v="31.49"/>
    <n v="0.2"/>
    <n v="13.26"/>
    <s v="East"/>
    <s v="Credit Card"/>
  </r>
  <r>
    <s v="ORD-10209"/>
    <x v="120"/>
    <s v="CUST-0055"/>
    <s v="Customer 55"/>
    <x v="0"/>
    <x v="9"/>
    <n v="4"/>
    <n v="433.4"/>
    <n v="1560.24"/>
    <n v="0.1"/>
    <n v="290.42"/>
    <s v="West"/>
    <s v="Bank Transfer"/>
  </r>
  <r>
    <s v="ORD-10210"/>
    <x v="153"/>
    <s v="CUST-0118"/>
    <s v="Customer 118"/>
    <x v="0"/>
    <x v="3"/>
    <n v="5"/>
    <n v="891.19"/>
    <n v="4010.36"/>
    <n v="0.1"/>
    <n v="812.86"/>
    <s v="South"/>
    <s v="Bank Transfer"/>
  </r>
  <r>
    <s v="ORD-10211"/>
    <x v="70"/>
    <s v="CUST-0032"/>
    <s v="Customer 32"/>
    <x v="0"/>
    <x v="9"/>
    <n v="1"/>
    <n v="739.97"/>
    <n v="702.97"/>
    <n v="0.05"/>
    <n v="144.26"/>
    <s v="North"/>
    <s v="Cash"/>
  </r>
  <r>
    <s v="ORD-10212"/>
    <x v="154"/>
    <s v="CUST-0066"/>
    <s v="Customer 66"/>
    <x v="0"/>
    <x v="9"/>
    <n v="1"/>
    <n v="127.98"/>
    <n v="108.78"/>
    <n v="0.15"/>
    <n v="21.04"/>
    <s v="East"/>
    <s v="Mobile Banking"/>
  </r>
  <r>
    <s v="ORD-10213"/>
    <x v="155"/>
    <s v="CUST-0082"/>
    <s v="Customer 82"/>
    <x v="2"/>
    <x v="10"/>
    <n v="7"/>
    <n v="138.38"/>
    <n v="871.79"/>
    <n v="0.1"/>
    <n v="255.23"/>
    <s v="West"/>
    <s v="Bank Transfer"/>
  </r>
  <r>
    <s v="ORD-10214"/>
    <x v="148"/>
    <s v="CUST-0049"/>
    <s v="Customer 49"/>
    <x v="2"/>
    <x v="5"/>
    <n v="2"/>
    <n v="391.62"/>
    <n v="704.92"/>
    <n v="0.1"/>
    <n v="204.27"/>
    <s v="South"/>
    <s v="Mobile Banking"/>
  </r>
  <r>
    <s v="ORD-10215"/>
    <x v="156"/>
    <s v="CUST-0073"/>
    <s v="Customer 73"/>
    <x v="1"/>
    <x v="19"/>
    <n v="7"/>
    <n v="34.03"/>
    <n v="238.21"/>
    <n v="0"/>
    <n v="99.85"/>
    <s v="South"/>
    <s v="Cash"/>
  </r>
  <r>
    <s v="ORD-10216"/>
    <x v="106"/>
    <s v="CUST-0066"/>
    <s v="Customer 66"/>
    <x v="2"/>
    <x v="10"/>
    <n v="1"/>
    <n v="351.17"/>
    <n v="333.61"/>
    <n v="0.05"/>
    <n v="97.35"/>
    <s v="North"/>
    <s v="Bank Transfer"/>
  </r>
  <r>
    <s v="ORD-10217"/>
    <x v="106"/>
    <s v="CUST-0013"/>
    <s v="Customer 13"/>
    <x v="0"/>
    <x v="3"/>
    <n v="5"/>
    <n v="168.07"/>
    <n v="798.33"/>
    <n v="0.05"/>
    <n v="155.53"/>
    <s v="East"/>
    <s v="Cash"/>
  </r>
  <r>
    <s v="ORD-10218"/>
    <x v="157"/>
    <s v="CUST-0096"/>
    <s v="Customer 96"/>
    <x v="0"/>
    <x v="4"/>
    <n v="4"/>
    <n v="391.38"/>
    <n v="1487.24"/>
    <n v="0.05"/>
    <n v="292.70999999999998"/>
    <s v="West"/>
    <s v="Bank Transfer"/>
  </r>
  <r>
    <s v="ORD-10219"/>
    <x v="158"/>
    <s v="CUST-0023"/>
    <s v="Customer 23"/>
    <x v="0"/>
    <x v="9"/>
    <n v="3"/>
    <n v="479.09"/>
    <n v="1293.54"/>
    <n v="0.1"/>
    <n v="264.2"/>
    <s v="North"/>
    <s v="Debit Card"/>
  </r>
  <r>
    <s v="ORD-10220"/>
    <x v="41"/>
    <s v="CUST-0031"/>
    <s v="Customer 31"/>
    <x v="2"/>
    <x v="10"/>
    <n v="7"/>
    <n v="689.06"/>
    <n v="4823.42"/>
    <n v="0"/>
    <n v="1474.68"/>
    <s v="North"/>
    <s v="Cash"/>
  </r>
  <r>
    <s v="ORD-10221"/>
    <x v="159"/>
    <s v="CUST-0080"/>
    <s v="Customer 80"/>
    <x v="0"/>
    <x v="3"/>
    <n v="4"/>
    <n v="751.21"/>
    <n v="2704.36"/>
    <n v="0.1"/>
    <n v="549.35"/>
    <s v="North"/>
    <s v="Cash"/>
  </r>
  <r>
    <s v="ORD-10222"/>
    <x v="160"/>
    <s v="CUST-0038"/>
    <s v="Customer 38"/>
    <x v="0"/>
    <x v="4"/>
    <n v="7"/>
    <n v="876.07"/>
    <n v="5519.24"/>
    <n v="0.1"/>
    <n v="1092.02"/>
    <s v="West"/>
    <s v="Bank Transfer"/>
  </r>
  <r>
    <s v="ORD-10223"/>
    <x v="34"/>
    <s v="CUST-0086"/>
    <s v="Customer 86"/>
    <x v="0"/>
    <x v="3"/>
    <n v="6"/>
    <n v="232.84"/>
    <n v="1327.19"/>
    <n v="0.05"/>
    <n v="240.33"/>
    <s v="East"/>
    <s v="Debit Card"/>
  </r>
  <r>
    <s v="ORD-10224"/>
    <x v="161"/>
    <s v="CUST-0102"/>
    <s v="Customer 102"/>
    <x v="0"/>
    <x v="0"/>
    <n v="7"/>
    <n v="709.02"/>
    <n v="4466.83"/>
    <n v="0.1"/>
    <n v="912.61"/>
    <s v="North"/>
    <s v="Credit Card"/>
  </r>
  <r>
    <s v="ORD-10225"/>
    <x v="123"/>
    <s v="CUST-0109"/>
    <s v="Customer 109"/>
    <x v="0"/>
    <x v="9"/>
    <n v="5"/>
    <n v="258.66000000000003"/>
    <n v="1293.3"/>
    <n v="0"/>
    <n v="269.94"/>
    <s v="North"/>
    <s v="Mobile Banking"/>
  </r>
  <r>
    <s v="ORD-10226"/>
    <x v="6"/>
    <s v="CUST-0021"/>
    <s v="Customer 21"/>
    <x v="0"/>
    <x v="3"/>
    <n v="4"/>
    <n v="337.57"/>
    <n v="1350.28"/>
    <n v="0"/>
    <n v="278.41000000000003"/>
    <s v="South"/>
    <s v="Cash"/>
  </r>
  <r>
    <s v="ORD-10227"/>
    <x v="162"/>
    <s v="CUST-0099"/>
    <s v="Customer 99"/>
    <x v="0"/>
    <x v="9"/>
    <n v="1"/>
    <n v="746.55"/>
    <n v="634.57000000000005"/>
    <n v="0.15"/>
    <n v="125.79"/>
    <s v="South"/>
    <s v="Bank Transfer"/>
  </r>
  <r>
    <s v="ORD-10228"/>
    <x v="163"/>
    <s v="CUST-0009"/>
    <s v="Customer 9"/>
    <x v="0"/>
    <x v="7"/>
    <n v="1"/>
    <n v="833.56"/>
    <n v="791.88"/>
    <n v="0.05"/>
    <n v="160.24"/>
    <s v="South"/>
    <s v="Debit Card"/>
  </r>
  <r>
    <s v="ORD-10229"/>
    <x v="162"/>
    <s v="CUST-0021"/>
    <s v="Customer 21"/>
    <x v="0"/>
    <x v="4"/>
    <n v="4"/>
    <n v="773.71"/>
    <n v="2785.36"/>
    <n v="0.1"/>
    <n v="510.13"/>
    <s v="West"/>
    <s v="Credit Card"/>
  </r>
  <r>
    <s v="ORD-10230"/>
    <x v="164"/>
    <s v="CUST-0088"/>
    <s v="Customer 88"/>
    <x v="1"/>
    <x v="19"/>
    <n v="5"/>
    <n v="14.56"/>
    <n v="65.52"/>
    <n v="0.1"/>
    <n v="27.82"/>
    <s v="North"/>
    <s v="Bank Transfer"/>
  </r>
  <r>
    <s v="ORD-10231"/>
    <x v="71"/>
    <s v="CUST-0051"/>
    <s v="Customer 51"/>
    <x v="0"/>
    <x v="3"/>
    <n v="3"/>
    <n v="39.229999999999997"/>
    <n v="94.15"/>
    <n v="0.2"/>
    <n v="17.690000000000001"/>
    <s v="South"/>
    <s v="Cash"/>
  </r>
  <r>
    <s v="ORD-10232"/>
    <x v="165"/>
    <s v="CUST-0051"/>
    <s v="Customer 51"/>
    <x v="0"/>
    <x v="3"/>
    <n v="3"/>
    <n v="509.25"/>
    <n v="1451.36"/>
    <n v="0.05"/>
    <n v="268.62"/>
    <s v="West"/>
    <s v="Debit Card"/>
  </r>
  <r>
    <s v="ORD-10233"/>
    <x v="67"/>
    <s v="CUST-0095"/>
    <s v="Customer 95"/>
    <x v="0"/>
    <x v="4"/>
    <n v="1"/>
    <n v="1171.79"/>
    <n v="1054.6099999999999"/>
    <n v="0.1"/>
    <n v="221.14"/>
    <s v="West"/>
    <s v="Cash"/>
  </r>
  <r>
    <s v="ORD-10234"/>
    <x v="166"/>
    <s v="CUST-0119"/>
    <s v="Customer 119"/>
    <x v="1"/>
    <x v="13"/>
    <n v="6"/>
    <n v="71.98"/>
    <n v="410.29"/>
    <n v="0.05"/>
    <n v="178.99"/>
    <s v="East"/>
    <s v="Debit Card"/>
  </r>
  <r>
    <s v="ORD-10235"/>
    <x v="18"/>
    <s v="CUST-0095"/>
    <s v="Customer 95"/>
    <x v="1"/>
    <x v="16"/>
    <n v="4"/>
    <n v="15.06"/>
    <n v="60.24"/>
    <n v="0"/>
    <n v="26.31"/>
    <s v="South"/>
    <s v="Credit Card"/>
  </r>
  <r>
    <s v="ORD-10236"/>
    <x v="139"/>
    <s v="CUST-0089"/>
    <s v="Customer 89"/>
    <x v="0"/>
    <x v="3"/>
    <n v="2"/>
    <n v="1133.1099999999999"/>
    <n v="2266.2199999999998"/>
    <n v="0"/>
    <n v="467.65"/>
    <s v="West"/>
    <s v="Mobile Banking"/>
  </r>
  <r>
    <s v="ORD-10237"/>
    <x v="167"/>
    <s v="CUST-0032"/>
    <s v="Customer 32"/>
    <x v="3"/>
    <x v="15"/>
    <n v="6"/>
    <n v="156.16"/>
    <n v="796.42"/>
    <n v="0.15"/>
    <n v="288.64999999999998"/>
    <s v="South"/>
    <s v="Bank Transfer"/>
  </r>
  <r>
    <s v="ORD-10238"/>
    <x v="50"/>
    <s v="CUST-0008"/>
    <s v="Customer 8"/>
    <x v="1"/>
    <x v="16"/>
    <n v="6"/>
    <n v="59.09"/>
    <n v="319.08999999999997"/>
    <n v="0.1"/>
    <n v="134.12"/>
    <s v="East"/>
    <s v="Mobile Banking"/>
  </r>
  <r>
    <s v="ORD-10239"/>
    <x v="37"/>
    <s v="CUST-0013"/>
    <s v="Customer 13"/>
    <x v="0"/>
    <x v="4"/>
    <n v="2"/>
    <n v="151.83000000000001"/>
    <n v="273.29000000000002"/>
    <n v="0.1"/>
    <n v="56.64"/>
    <s v="South"/>
    <s v="Mobile Banking"/>
  </r>
  <r>
    <s v="ORD-10240"/>
    <x v="168"/>
    <s v="CUST-0043"/>
    <s v="Customer 43"/>
    <x v="0"/>
    <x v="4"/>
    <n v="5"/>
    <n v="718.66"/>
    <n v="3413.64"/>
    <n v="0.05"/>
    <n v="686.39"/>
    <s v="East"/>
    <s v="Bank Transfer"/>
  </r>
  <r>
    <s v="ORD-10241"/>
    <x v="127"/>
    <s v="CUST-0101"/>
    <s v="Customer 101"/>
    <x v="0"/>
    <x v="4"/>
    <n v="7"/>
    <n v="214"/>
    <n v="1348.2"/>
    <n v="0.1"/>
    <n v="250.29"/>
    <s v="West"/>
    <s v="Bank Transfer"/>
  </r>
  <r>
    <s v="ORD-10242"/>
    <x v="153"/>
    <s v="CUST-0099"/>
    <s v="Customer 99"/>
    <x v="3"/>
    <x v="8"/>
    <n v="2"/>
    <n v="121.1"/>
    <n v="230.09"/>
    <n v="0.05"/>
    <n v="84.61"/>
    <s v="South"/>
    <s v="Mobile Banking"/>
  </r>
  <r>
    <s v="ORD-10243"/>
    <x v="98"/>
    <s v="CUST-0013"/>
    <s v="Customer 13"/>
    <x v="0"/>
    <x v="7"/>
    <n v="1"/>
    <n v="676.22"/>
    <n v="676.22"/>
    <n v="0"/>
    <n v="126.57"/>
    <s v="South"/>
    <s v="Cash"/>
  </r>
  <r>
    <s v="ORD-10244"/>
    <x v="169"/>
    <s v="CUST-0075"/>
    <s v="Customer 75"/>
    <x v="1"/>
    <x v="13"/>
    <n v="3"/>
    <n v="67.83"/>
    <n v="193.32"/>
    <n v="0.05"/>
    <n v="82.15"/>
    <s v="South"/>
    <s v="Cash"/>
  </r>
  <r>
    <s v="ORD-10245"/>
    <x v="169"/>
    <s v="CUST-0010"/>
    <s v="Customer 10"/>
    <x v="2"/>
    <x v="5"/>
    <n v="6"/>
    <n v="427.34"/>
    <n v="2435.84"/>
    <n v="0.05"/>
    <n v="724.96"/>
    <s v="West"/>
    <s v="Bank Transfer"/>
  </r>
  <r>
    <s v="ORD-10246"/>
    <x v="119"/>
    <s v="CUST-0057"/>
    <s v="Customer 57"/>
    <x v="0"/>
    <x v="4"/>
    <n v="5"/>
    <n v="134.26"/>
    <n v="604.16999999999996"/>
    <n v="0.1"/>
    <n v="118.16"/>
    <s v="South"/>
    <s v="Mobile Banking"/>
  </r>
  <r>
    <s v="ORD-10247"/>
    <x v="170"/>
    <s v="CUST-0116"/>
    <s v="Customer 116"/>
    <x v="0"/>
    <x v="9"/>
    <n v="4"/>
    <n v="87.04"/>
    <n v="330.75"/>
    <n v="0.05"/>
    <n v="63.51"/>
    <s v="East"/>
    <s v="Cash"/>
  </r>
  <r>
    <s v="ORD-10248"/>
    <x v="95"/>
    <s v="CUST-0110"/>
    <s v="Customer 110"/>
    <x v="3"/>
    <x v="18"/>
    <n v="3"/>
    <n v="18.07"/>
    <n v="51.5"/>
    <n v="0.05"/>
    <n v="18.87"/>
    <s v="South"/>
    <s v="Bank Transfer"/>
  </r>
  <r>
    <s v="ORD-10249"/>
    <x v="171"/>
    <s v="CUST-0100"/>
    <s v="Customer 100"/>
    <x v="1"/>
    <x v="1"/>
    <n v="6"/>
    <n v="28.27"/>
    <n v="161.13999999999999"/>
    <n v="0.05"/>
    <n v="70.47"/>
    <s v="West"/>
    <s v="Credit Card"/>
  </r>
  <r>
    <s v="ORD-10250"/>
    <x v="51"/>
    <s v="CUST-0075"/>
    <s v="Customer 75"/>
    <x v="1"/>
    <x v="1"/>
    <n v="1"/>
    <n v="74.849999999999994"/>
    <n v="67.36"/>
    <n v="0.1"/>
    <n v="28.79"/>
    <s v="West"/>
    <s v="Cash"/>
  </r>
  <r>
    <s v="ORD-10251"/>
    <x v="172"/>
    <s v="CUST-0047"/>
    <s v="Customer 47"/>
    <x v="1"/>
    <x v="1"/>
    <n v="6"/>
    <n v="60.54"/>
    <n v="326.92"/>
    <n v="0.1"/>
    <n v="134.52000000000001"/>
    <s v="North"/>
    <s v="Credit Card"/>
  </r>
  <r>
    <s v="ORD-10252"/>
    <x v="173"/>
    <s v="CUST-0003"/>
    <s v="Customer 3"/>
    <x v="2"/>
    <x v="10"/>
    <n v="5"/>
    <n v="499.17"/>
    <n v="2246.2600000000002"/>
    <n v="0.1"/>
    <n v="656.82"/>
    <s v="South"/>
    <s v="Credit Card"/>
  </r>
  <r>
    <s v="ORD-10253"/>
    <x v="174"/>
    <s v="CUST-0019"/>
    <s v="Customer 19"/>
    <x v="3"/>
    <x v="11"/>
    <n v="2"/>
    <n v="154.66999999999999"/>
    <n v="309.33999999999997"/>
    <n v="0"/>
    <n v="117.14"/>
    <s v="West"/>
    <s v="Bank Transfer"/>
  </r>
  <r>
    <s v="ORD-10254"/>
    <x v="122"/>
    <s v="CUST-0064"/>
    <s v="Customer 64"/>
    <x v="2"/>
    <x v="6"/>
    <n v="5"/>
    <n v="503.03"/>
    <n v="2263.64"/>
    <n v="0.1"/>
    <n v="698.34"/>
    <s v="East"/>
    <s v="Debit Card"/>
  </r>
  <r>
    <s v="ORD-10255"/>
    <x v="175"/>
    <s v="CUST-0070"/>
    <s v="Customer 70"/>
    <x v="3"/>
    <x v="18"/>
    <n v="1"/>
    <n v="35.33"/>
    <n v="31.8"/>
    <n v="0.1"/>
    <n v="12.27"/>
    <s v="East"/>
    <s v="Cash"/>
  </r>
  <r>
    <s v="ORD-10256"/>
    <x v="176"/>
    <s v="CUST-0030"/>
    <s v="Customer 30"/>
    <x v="1"/>
    <x v="19"/>
    <n v="4"/>
    <n v="6.43"/>
    <n v="25.72"/>
    <n v="0"/>
    <n v="11.1"/>
    <s v="East"/>
    <s v="Cash"/>
  </r>
  <r>
    <s v="ORD-10257"/>
    <x v="177"/>
    <s v="CUST-0016"/>
    <s v="Customer 16"/>
    <x v="1"/>
    <x v="2"/>
    <n v="6"/>
    <n v="36.020000000000003"/>
    <n v="183.7"/>
    <n v="0.15"/>
    <n v="79.349999999999994"/>
    <s v="North"/>
    <s v="Bank Transfer"/>
  </r>
  <r>
    <s v="ORD-10258"/>
    <x v="126"/>
    <s v="CUST-0082"/>
    <s v="Customer 82"/>
    <x v="3"/>
    <x v="11"/>
    <n v="2"/>
    <n v="104.66"/>
    <n v="198.85"/>
    <n v="0.05"/>
    <n v="75.67"/>
    <s v="East"/>
    <s v="Debit Card"/>
  </r>
  <r>
    <s v="ORD-10259"/>
    <x v="178"/>
    <s v="CUST-0088"/>
    <s v="Customer 88"/>
    <x v="1"/>
    <x v="1"/>
    <n v="7"/>
    <n v="70.92"/>
    <n v="471.62"/>
    <n v="0.05"/>
    <n v="195.8"/>
    <s v="West"/>
    <s v="Credit Card"/>
  </r>
  <r>
    <s v="ORD-10260"/>
    <x v="109"/>
    <s v="CUST-0069"/>
    <s v="Customer 69"/>
    <x v="2"/>
    <x v="6"/>
    <n v="3"/>
    <n v="515.85"/>
    <n v="1547.55"/>
    <n v="0"/>
    <n v="464.04"/>
    <s v="East"/>
    <s v="Credit Card"/>
  </r>
  <r>
    <s v="ORD-10261"/>
    <x v="29"/>
    <s v="CUST-0050"/>
    <s v="Customer 50"/>
    <x v="3"/>
    <x v="8"/>
    <n v="5"/>
    <n v="46.75"/>
    <n v="233.75"/>
    <n v="0"/>
    <n v="85.2"/>
    <s v="East"/>
    <s v="Credit Card"/>
  </r>
  <r>
    <s v="ORD-10262"/>
    <x v="179"/>
    <s v="CUST-0098"/>
    <s v="Customer 98"/>
    <x v="2"/>
    <x v="6"/>
    <n v="4"/>
    <n v="514.29"/>
    <n v="2057.16"/>
    <n v="0"/>
    <n v="594.04"/>
    <s v="North"/>
    <s v="Debit Card"/>
  </r>
  <r>
    <s v="ORD-10263"/>
    <x v="180"/>
    <s v="CUST-0074"/>
    <s v="Customer 74"/>
    <x v="0"/>
    <x v="9"/>
    <n v="5"/>
    <n v="190.63"/>
    <n v="857.84"/>
    <n v="0.1"/>
    <n v="174.59"/>
    <s v="South"/>
    <s v="Debit Card"/>
  </r>
  <r>
    <s v="ORD-10264"/>
    <x v="181"/>
    <s v="CUST-0039"/>
    <s v="Customer 39"/>
    <x v="3"/>
    <x v="11"/>
    <n v="6"/>
    <n v="57.98"/>
    <n v="313.08999999999997"/>
    <n v="0.1"/>
    <n v="121.05"/>
    <s v="East"/>
    <s v="Debit Card"/>
  </r>
  <r>
    <s v="ORD-10265"/>
    <x v="95"/>
    <s v="CUST-0049"/>
    <s v="Customer 49"/>
    <x v="3"/>
    <x v="11"/>
    <n v="7"/>
    <n v="158.01"/>
    <n v="1050.77"/>
    <n v="0.05"/>
    <n v="385.89"/>
    <s v="West"/>
    <s v="Bank Transfer"/>
  </r>
  <r>
    <s v="ORD-10266"/>
    <x v="34"/>
    <s v="CUST-0014"/>
    <s v="Customer 14"/>
    <x v="1"/>
    <x v="19"/>
    <n v="3"/>
    <n v="75.89"/>
    <n v="204.9"/>
    <n v="0.1"/>
    <n v="85.54"/>
    <s v="North"/>
    <s v="Debit Card"/>
  </r>
  <r>
    <s v="ORD-10267"/>
    <x v="107"/>
    <s v="CUST-0097"/>
    <s v="Customer 97"/>
    <x v="0"/>
    <x v="3"/>
    <n v="2"/>
    <n v="609.92999999999995"/>
    <n v="1219.8599999999999"/>
    <n v="0"/>
    <n v="232.14"/>
    <s v="North"/>
    <s v="Mobile Banking"/>
  </r>
  <r>
    <s v="ORD-10268"/>
    <x v="182"/>
    <s v="CUST-0051"/>
    <s v="Customer 51"/>
    <x v="2"/>
    <x v="14"/>
    <n v="3"/>
    <n v="166.52"/>
    <n v="474.58"/>
    <n v="0.05"/>
    <n v="143.03"/>
    <s v="West"/>
    <s v="Credit Card"/>
  </r>
  <r>
    <s v="ORD-10269"/>
    <x v="151"/>
    <s v="CUST-0055"/>
    <s v="Customer 55"/>
    <x v="2"/>
    <x v="6"/>
    <n v="1"/>
    <n v="295.3"/>
    <n v="251"/>
    <n v="0.15"/>
    <n v="73.8"/>
    <s v="South"/>
    <s v="Cash"/>
  </r>
  <r>
    <s v="ORD-10270"/>
    <x v="159"/>
    <s v="CUST-0080"/>
    <s v="Customer 80"/>
    <x v="1"/>
    <x v="19"/>
    <n v="3"/>
    <n v="30.96"/>
    <n v="78.95"/>
    <n v="0.15"/>
    <n v="34.340000000000003"/>
    <s v="South"/>
    <s v="Credit Card"/>
  </r>
  <r>
    <s v="ORD-10271"/>
    <x v="25"/>
    <s v="CUST-0107"/>
    <s v="Customer 107"/>
    <x v="1"/>
    <x v="16"/>
    <n v="5"/>
    <n v="36.9"/>
    <n v="166.05"/>
    <n v="0.1"/>
    <n v="72.650000000000006"/>
    <s v="West"/>
    <s v="Credit Card"/>
  </r>
  <r>
    <s v="ORD-10272"/>
    <x v="183"/>
    <s v="CUST-0109"/>
    <s v="Customer 109"/>
    <x v="3"/>
    <x v="18"/>
    <n v="7"/>
    <n v="29.06"/>
    <n v="183.08"/>
    <n v="0.1"/>
    <n v="69.63"/>
    <s v="West"/>
    <s v="Debit Card"/>
  </r>
  <r>
    <s v="ORD-10273"/>
    <x v="184"/>
    <s v="CUST-0025"/>
    <s v="Customer 25"/>
    <x v="2"/>
    <x v="14"/>
    <n v="3"/>
    <n v="383.36"/>
    <n v="1035.07"/>
    <n v="0.1"/>
    <n v="293.23"/>
    <s v="South"/>
    <s v="Bank Transfer"/>
  </r>
  <r>
    <s v="ORD-10274"/>
    <x v="185"/>
    <s v="CUST-0116"/>
    <s v="Customer 116"/>
    <x v="3"/>
    <x v="8"/>
    <n v="6"/>
    <n v="101.02"/>
    <n v="545.51"/>
    <n v="0.1"/>
    <n v="207.6"/>
    <s v="East"/>
    <s v="Debit Card"/>
  </r>
  <r>
    <s v="ORD-10275"/>
    <x v="176"/>
    <s v="CUST-0088"/>
    <s v="Customer 88"/>
    <x v="3"/>
    <x v="8"/>
    <n v="2"/>
    <n v="148.91"/>
    <n v="253.15"/>
    <n v="0.15"/>
    <n v="94.74"/>
    <s v="West"/>
    <s v="Bank Transfer"/>
  </r>
  <r>
    <s v="ORD-10276"/>
    <x v="186"/>
    <s v="CUST-0033"/>
    <s v="Customer 33"/>
    <x v="0"/>
    <x v="9"/>
    <n v="5"/>
    <n v="518.64"/>
    <n v="2204.2199999999998"/>
    <n v="0.15"/>
    <n v="413.97"/>
    <s v="South"/>
    <s v="Debit Card"/>
  </r>
  <r>
    <s v="ORD-10277"/>
    <x v="184"/>
    <s v="CUST-0108"/>
    <s v="Customer 108"/>
    <x v="1"/>
    <x v="13"/>
    <n v="3"/>
    <n v="67.97"/>
    <n v="203.91"/>
    <n v="0"/>
    <n v="89.53"/>
    <s v="North"/>
    <s v="Debit Card"/>
  </r>
  <r>
    <s v="ORD-10278"/>
    <x v="187"/>
    <s v="CUST-0039"/>
    <s v="Customer 39"/>
    <x v="0"/>
    <x v="4"/>
    <n v="6"/>
    <n v="1030.49"/>
    <n v="6182.94"/>
    <n v="0"/>
    <n v="1143.1600000000001"/>
    <s v="East"/>
    <s v="Mobile Banking"/>
  </r>
  <r>
    <s v="ORD-10279"/>
    <x v="51"/>
    <s v="CUST-0038"/>
    <s v="Customer 38"/>
    <x v="1"/>
    <x v="13"/>
    <n v="7"/>
    <n v="19.37"/>
    <n v="135.59"/>
    <n v="0"/>
    <n v="58.42"/>
    <s v="South"/>
    <s v="Cash"/>
  </r>
  <r>
    <s v="ORD-10280"/>
    <x v="83"/>
    <s v="CUST-0009"/>
    <s v="Customer 9"/>
    <x v="3"/>
    <x v="8"/>
    <n v="3"/>
    <n v="18.16"/>
    <n v="46.31"/>
    <n v="0.15"/>
    <n v="17.16"/>
    <s v="South"/>
    <s v="Mobile Banking"/>
  </r>
  <r>
    <s v="ORD-10281"/>
    <x v="188"/>
    <s v="CUST-0098"/>
    <s v="Customer 98"/>
    <x v="0"/>
    <x v="3"/>
    <n v="6"/>
    <n v="565.91999999999996"/>
    <n v="2886.19"/>
    <n v="0.15"/>
    <n v="558.77"/>
    <s v="East"/>
    <s v="Mobile Banking"/>
  </r>
  <r>
    <s v="ORD-10282"/>
    <x v="126"/>
    <s v="CUST-0113"/>
    <s v="Customer 113"/>
    <x v="3"/>
    <x v="11"/>
    <n v="1"/>
    <n v="80.489999999999995"/>
    <n v="80.489999999999995"/>
    <n v="0"/>
    <n v="29.06"/>
    <s v="South"/>
    <s v="Credit Card"/>
  </r>
  <r>
    <s v="ORD-10283"/>
    <x v="189"/>
    <s v="CUST-0073"/>
    <s v="Customer 73"/>
    <x v="0"/>
    <x v="3"/>
    <n v="4"/>
    <n v="46.16"/>
    <n v="147.71"/>
    <n v="0.2"/>
    <n v="27.8"/>
    <s v="East"/>
    <s v="Cash"/>
  </r>
  <r>
    <s v="ORD-10284"/>
    <x v="189"/>
    <s v="CUST-0047"/>
    <s v="Customer 47"/>
    <x v="3"/>
    <x v="8"/>
    <n v="4"/>
    <n v="27.36"/>
    <n v="98.5"/>
    <n v="0.1"/>
    <n v="36.82"/>
    <s v="West"/>
    <s v="Credit Card"/>
  </r>
  <r>
    <s v="ORD-10285"/>
    <x v="190"/>
    <s v="CUST-0089"/>
    <s v="Customer 89"/>
    <x v="0"/>
    <x v="7"/>
    <n v="6"/>
    <n v="728.07"/>
    <n v="4368.42"/>
    <n v="0"/>
    <n v="878.06"/>
    <s v="South"/>
    <s v="Credit Card"/>
  </r>
  <r>
    <s v="ORD-10286"/>
    <x v="5"/>
    <s v="CUST-0002"/>
    <s v="Customer 2"/>
    <x v="0"/>
    <x v="4"/>
    <n v="1"/>
    <n v="413.23"/>
    <n v="392.57"/>
    <n v="0.05"/>
    <n v="70.790000000000006"/>
    <s v="East"/>
    <s v="Bank Transfer"/>
  </r>
  <r>
    <s v="ORD-10287"/>
    <x v="191"/>
    <s v="CUST-0011"/>
    <s v="Customer 11"/>
    <x v="3"/>
    <x v="8"/>
    <n v="6"/>
    <n v="155.18"/>
    <n v="884.53"/>
    <n v="0.05"/>
    <n v="343.28"/>
    <s v="West"/>
    <s v="Bank Transfer"/>
  </r>
  <r>
    <s v="ORD-10288"/>
    <x v="105"/>
    <s v="CUST-0061"/>
    <s v="Customer 61"/>
    <x v="1"/>
    <x v="13"/>
    <n v="1"/>
    <n v="54.53"/>
    <n v="46.35"/>
    <n v="0.15"/>
    <n v="19.170000000000002"/>
    <s v="North"/>
    <s v="Bank Transfer"/>
  </r>
  <r>
    <s v="ORD-10289"/>
    <x v="192"/>
    <s v="CUST-0046"/>
    <s v="Customer 46"/>
    <x v="1"/>
    <x v="19"/>
    <n v="7"/>
    <n v="13.59"/>
    <n v="90.37"/>
    <n v="0.05"/>
    <n v="39.32"/>
    <s v="South"/>
    <s v="Bank Transfer"/>
  </r>
  <r>
    <s v="ORD-10290"/>
    <x v="193"/>
    <s v="CUST-0051"/>
    <s v="Customer 51"/>
    <x v="1"/>
    <x v="19"/>
    <n v="4"/>
    <n v="55.08"/>
    <n v="220.32"/>
    <n v="0"/>
    <n v="95.39"/>
    <s v="West"/>
    <s v="Bank Transfer"/>
  </r>
  <r>
    <s v="ORD-10291"/>
    <x v="194"/>
    <s v="CUST-0088"/>
    <s v="Customer 88"/>
    <x v="3"/>
    <x v="8"/>
    <n v="2"/>
    <n v="89.34"/>
    <n v="142.94"/>
    <n v="0.2"/>
    <n v="54.59"/>
    <s v="South"/>
    <s v="Credit Card"/>
  </r>
  <r>
    <s v="ORD-10292"/>
    <x v="40"/>
    <s v="CUST-0006"/>
    <s v="Customer 6"/>
    <x v="0"/>
    <x v="0"/>
    <n v="2"/>
    <n v="1091.17"/>
    <n v="2182.34"/>
    <n v="0"/>
    <n v="427.54"/>
    <s v="North"/>
    <s v="Bank Transfer"/>
  </r>
  <r>
    <s v="ORD-10293"/>
    <x v="76"/>
    <s v="CUST-0035"/>
    <s v="Customer 35"/>
    <x v="2"/>
    <x v="14"/>
    <n v="5"/>
    <n v="347.77"/>
    <n v="1564.96"/>
    <n v="0.1"/>
    <n v="459.93"/>
    <s v="North"/>
    <s v="Credit Card"/>
  </r>
  <r>
    <s v="ORD-10294"/>
    <x v="118"/>
    <s v="CUST-0090"/>
    <s v="Customer 90"/>
    <x v="0"/>
    <x v="3"/>
    <n v="7"/>
    <n v="968.04"/>
    <n v="6098.65"/>
    <n v="0.1"/>
    <n v="1186.92"/>
    <s v="East"/>
    <s v="Credit Card"/>
  </r>
  <r>
    <s v="ORD-10295"/>
    <x v="52"/>
    <s v="CUST-0041"/>
    <s v="Customer 41"/>
    <x v="2"/>
    <x v="6"/>
    <n v="1"/>
    <n v="106.27"/>
    <n v="100.96"/>
    <n v="0.05"/>
    <n v="29.76"/>
    <s v="North"/>
    <s v="Bank Transfer"/>
  </r>
  <r>
    <s v="ORD-10296"/>
    <x v="195"/>
    <s v="CUST-0046"/>
    <s v="Customer 46"/>
    <x v="1"/>
    <x v="1"/>
    <n v="5"/>
    <n v="33.380000000000003"/>
    <n v="158.56"/>
    <n v="0.05"/>
    <n v="67.81"/>
    <s v="West"/>
    <s v="Bank Transfer"/>
  </r>
  <r>
    <s v="ORD-10297"/>
    <x v="19"/>
    <s v="CUST-0033"/>
    <s v="Customer 33"/>
    <x v="1"/>
    <x v="19"/>
    <n v="5"/>
    <n v="58.32"/>
    <n v="233.28"/>
    <n v="0.2"/>
    <n v="97.59"/>
    <s v="North"/>
    <s v="Mobile Banking"/>
  </r>
  <r>
    <s v="ORD-10298"/>
    <x v="196"/>
    <s v="CUST-0049"/>
    <s v="Customer 49"/>
    <x v="0"/>
    <x v="0"/>
    <n v="7"/>
    <n v="1049.1300000000001"/>
    <n v="7343.91"/>
    <n v="0"/>
    <n v="1395.65"/>
    <s v="North"/>
    <s v="Cash"/>
  </r>
  <r>
    <s v="ORD-10299"/>
    <x v="148"/>
    <s v="CUST-0028"/>
    <s v="Customer 28"/>
    <x v="0"/>
    <x v="3"/>
    <n v="4"/>
    <n v="1082.8800000000001"/>
    <n v="4114.9399999999996"/>
    <n v="0.05"/>
    <n v="824.5"/>
    <s v="North"/>
    <s v="Debit Card"/>
  </r>
  <r>
    <s v="ORD-10300"/>
    <x v="197"/>
    <s v="CUST-0066"/>
    <s v="Customer 66"/>
    <x v="1"/>
    <x v="13"/>
    <n v="3"/>
    <n v="48.71"/>
    <n v="146.13"/>
    <n v="0"/>
    <n v="61.51"/>
    <s v="South"/>
    <s v="Credit Card"/>
  </r>
  <r>
    <s v="ORD-10301"/>
    <x v="198"/>
    <s v="CUST-0084"/>
    <s v="Customer 84"/>
    <x v="1"/>
    <x v="19"/>
    <n v="6"/>
    <n v="12.28"/>
    <n v="62.63"/>
    <n v="0.15"/>
    <n v="27.43"/>
    <s v="West"/>
    <s v="Debit Card"/>
  </r>
  <r>
    <s v="ORD-10302"/>
    <x v="47"/>
    <s v="CUST-0065"/>
    <s v="Customer 65"/>
    <x v="0"/>
    <x v="4"/>
    <n v="7"/>
    <n v="703.21"/>
    <n v="4922.47"/>
    <n v="0"/>
    <n v="1015.55"/>
    <s v="North"/>
    <s v="Credit Card"/>
  </r>
  <r>
    <s v="ORD-10303"/>
    <x v="141"/>
    <s v="CUST-0028"/>
    <s v="Customer 28"/>
    <x v="1"/>
    <x v="13"/>
    <n v="5"/>
    <n v="56.32"/>
    <n v="267.52"/>
    <n v="0.05"/>
    <n v="112.31"/>
    <s v="East"/>
    <s v="Credit Card"/>
  </r>
  <r>
    <s v="ORD-10304"/>
    <x v="199"/>
    <s v="CUST-0060"/>
    <s v="Customer 60"/>
    <x v="0"/>
    <x v="9"/>
    <n v="4"/>
    <n v="963.1"/>
    <n v="3274.54"/>
    <n v="0.15"/>
    <n v="603.41"/>
    <s v="East"/>
    <s v="Credit Card"/>
  </r>
  <r>
    <s v="ORD-10305"/>
    <x v="200"/>
    <s v="CUST-0032"/>
    <s v="Customer 32"/>
    <x v="2"/>
    <x v="14"/>
    <n v="2"/>
    <n v="277.94"/>
    <n v="555.88"/>
    <n v="0"/>
    <n v="165.77"/>
    <s v="West"/>
    <s v="Debit Card"/>
  </r>
  <r>
    <s v="ORD-10306"/>
    <x v="201"/>
    <s v="CUST-0068"/>
    <s v="Customer 68"/>
    <x v="0"/>
    <x v="0"/>
    <n v="5"/>
    <n v="1070.8599999999999"/>
    <n v="5086.58"/>
    <n v="0.05"/>
    <n v="1044.6099999999999"/>
    <s v="North"/>
    <s v="Debit Card"/>
  </r>
  <r>
    <s v="ORD-10307"/>
    <x v="50"/>
    <s v="CUST-0011"/>
    <s v="Customer 11"/>
    <x v="1"/>
    <x v="19"/>
    <n v="1"/>
    <n v="10.8"/>
    <n v="9.18"/>
    <n v="0.15"/>
    <n v="3.89"/>
    <s v="West"/>
    <s v="Cash"/>
  </r>
  <r>
    <s v="ORD-10308"/>
    <x v="73"/>
    <s v="CUST-0004"/>
    <s v="Customer 4"/>
    <x v="1"/>
    <x v="13"/>
    <n v="1"/>
    <n v="13.82"/>
    <n v="13.13"/>
    <n v="0.05"/>
    <n v="5.77"/>
    <s v="East"/>
    <s v="Mobile Banking"/>
  </r>
  <r>
    <s v="ORD-10309"/>
    <x v="202"/>
    <s v="CUST-0027"/>
    <s v="Customer 27"/>
    <x v="3"/>
    <x v="8"/>
    <n v="6"/>
    <n v="13.32"/>
    <n v="75.92"/>
    <n v="0.05"/>
    <n v="29.24"/>
    <s v="South"/>
    <s v="Mobile Banking"/>
  </r>
  <r>
    <s v="ORD-10310"/>
    <x v="199"/>
    <s v="CUST-0042"/>
    <s v="Customer 42"/>
    <x v="0"/>
    <x v="0"/>
    <n v="5"/>
    <n v="1006.69"/>
    <n v="4781.78"/>
    <n v="0.05"/>
    <n v="950.41"/>
    <s v="East"/>
    <s v="Cash"/>
  </r>
  <r>
    <s v="ORD-10311"/>
    <x v="37"/>
    <s v="CUST-0077"/>
    <s v="Customer 77"/>
    <x v="3"/>
    <x v="18"/>
    <n v="3"/>
    <n v="173.32"/>
    <n v="493.96"/>
    <n v="0.05"/>
    <n v="186.93"/>
    <s v="West"/>
    <s v="Cash"/>
  </r>
  <r>
    <s v="ORD-10312"/>
    <x v="52"/>
    <s v="CUST-0013"/>
    <s v="Customer 13"/>
    <x v="3"/>
    <x v="18"/>
    <n v="2"/>
    <n v="36.950000000000003"/>
    <n v="73.900000000000006"/>
    <n v="0"/>
    <n v="26.96"/>
    <s v="East"/>
    <s v="Debit Card"/>
  </r>
  <r>
    <s v="ORD-10313"/>
    <x v="88"/>
    <s v="CUST-0113"/>
    <s v="Customer 113"/>
    <x v="3"/>
    <x v="15"/>
    <n v="5"/>
    <n v="66.900000000000006"/>
    <n v="334.5"/>
    <n v="0"/>
    <n v="120.76"/>
    <s v="East"/>
    <s v="Cash"/>
  </r>
  <r>
    <s v="ORD-10314"/>
    <x v="152"/>
    <s v="CUST-0099"/>
    <s v="Customer 99"/>
    <x v="0"/>
    <x v="4"/>
    <n v="5"/>
    <n v="760.83"/>
    <n v="3613.94"/>
    <n v="0.05"/>
    <n v="715.37"/>
    <s v="North"/>
    <s v="Mobile Banking"/>
  </r>
  <r>
    <s v="ORD-10315"/>
    <x v="23"/>
    <s v="CUST-0019"/>
    <s v="Customer 19"/>
    <x v="3"/>
    <x v="18"/>
    <n v="5"/>
    <n v="133.69999999999999"/>
    <n v="668.5"/>
    <n v="0"/>
    <n v="243.62"/>
    <s v="North"/>
    <s v="Cash"/>
  </r>
  <r>
    <s v="ORD-10316"/>
    <x v="203"/>
    <s v="CUST-0098"/>
    <s v="Customer 98"/>
    <x v="3"/>
    <x v="11"/>
    <n v="3"/>
    <n v="68.8"/>
    <n v="196.08"/>
    <n v="0.05"/>
    <n v="76.25"/>
    <s v="South"/>
    <s v="Mobile Banking"/>
  </r>
  <r>
    <s v="ORD-10317"/>
    <x v="204"/>
    <s v="CUST-0020"/>
    <s v="Customer 20"/>
    <x v="2"/>
    <x v="6"/>
    <n v="1"/>
    <n v="617.65"/>
    <n v="525"/>
    <n v="0.15"/>
    <n v="160.41"/>
    <s v="East"/>
    <s v="Debit Card"/>
  </r>
  <r>
    <s v="ORD-10318"/>
    <x v="190"/>
    <s v="CUST-0096"/>
    <s v="Customer 96"/>
    <x v="3"/>
    <x v="8"/>
    <n v="6"/>
    <n v="109.26"/>
    <n v="622.78"/>
    <n v="0.05"/>
    <n v="237.54"/>
    <s v="North"/>
    <s v="Mobile Banking"/>
  </r>
  <r>
    <s v="ORD-10319"/>
    <x v="123"/>
    <s v="CUST-0081"/>
    <s v="Customer 81"/>
    <x v="2"/>
    <x v="12"/>
    <n v="3"/>
    <n v="629.28"/>
    <n v="1793.45"/>
    <n v="0.05"/>
    <n v="532.11"/>
    <s v="East"/>
    <s v="Cash"/>
  </r>
  <r>
    <s v="ORD-10320"/>
    <x v="200"/>
    <s v="CUST-0073"/>
    <s v="Customer 73"/>
    <x v="3"/>
    <x v="11"/>
    <n v="4"/>
    <n v="8.5399999999999991"/>
    <n v="30.74"/>
    <n v="0.1"/>
    <n v="11.71"/>
    <s v="West"/>
    <s v="Mobile Banking"/>
  </r>
  <r>
    <s v="ORD-10321"/>
    <x v="184"/>
    <s v="CUST-0013"/>
    <s v="Customer 13"/>
    <x v="0"/>
    <x v="3"/>
    <n v="7"/>
    <n v="761.25"/>
    <n v="4529.4399999999996"/>
    <n v="0.15"/>
    <n v="948.58"/>
    <s v="West"/>
    <s v="Bank Transfer"/>
  </r>
  <r>
    <s v="ORD-10322"/>
    <x v="205"/>
    <s v="CUST-0010"/>
    <s v="Customer 10"/>
    <x v="0"/>
    <x v="3"/>
    <n v="2"/>
    <n v="768.24"/>
    <n v="1382.83"/>
    <n v="0.1"/>
    <n v="256.39"/>
    <s v="North"/>
    <s v="Mobile Banking"/>
  </r>
  <r>
    <s v="ORD-10323"/>
    <x v="206"/>
    <s v="CUST-0047"/>
    <s v="Customer 47"/>
    <x v="0"/>
    <x v="7"/>
    <n v="3"/>
    <n v="1197.44"/>
    <n v="3233.09"/>
    <n v="0.1"/>
    <n v="598.59"/>
    <s v="East"/>
    <s v="Mobile Banking"/>
  </r>
  <r>
    <s v="ORD-10324"/>
    <x v="207"/>
    <s v="CUST-0001"/>
    <s v="Customer 1"/>
    <x v="1"/>
    <x v="13"/>
    <n v="7"/>
    <n v="14"/>
    <n v="88.2"/>
    <n v="0.1"/>
    <n v="36.770000000000003"/>
    <s v="West"/>
    <s v="Credit Card"/>
  </r>
  <r>
    <s v="ORD-10325"/>
    <x v="191"/>
    <s v="CUST-0066"/>
    <s v="Customer 66"/>
    <x v="1"/>
    <x v="19"/>
    <n v="7"/>
    <n v="9.82"/>
    <n v="65.3"/>
    <n v="0.05"/>
    <n v="28.58"/>
    <s v="West"/>
    <s v="Cash"/>
  </r>
  <r>
    <s v="ORD-10326"/>
    <x v="31"/>
    <s v="CUST-0072"/>
    <s v="Customer 72"/>
    <x v="2"/>
    <x v="14"/>
    <n v="3"/>
    <n v="453.5"/>
    <n v="1224.45"/>
    <n v="0.1"/>
    <n v="353.95"/>
    <s v="North"/>
    <s v="Bank Transfer"/>
  </r>
  <r>
    <s v="ORD-10327"/>
    <x v="208"/>
    <s v="CUST-0119"/>
    <s v="Customer 119"/>
    <x v="0"/>
    <x v="9"/>
    <n v="2"/>
    <n v="958.56"/>
    <n v="1725.41"/>
    <n v="0.1"/>
    <n v="359.74"/>
    <s v="South"/>
    <s v="Debit Card"/>
  </r>
  <r>
    <s v="ORD-10328"/>
    <x v="209"/>
    <s v="CUST-0039"/>
    <s v="Customer 39"/>
    <x v="2"/>
    <x v="5"/>
    <n v="3"/>
    <n v="568.33000000000004"/>
    <n v="1449.24"/>
    <n v="0.15"/>
    <n v="431.65"/>
    <s v="East"/>
    <s v="Bank Transfer"/>
  </r>
  <r>
    <s v="ORD-10329"/>
    <x v="28"/>
    <s v="CUST-0030"/>
    <s v="Customer 30"/>
    <x v="1"/>
    <x v="13"/>
    <n v="5"/>
    <n v="5.59"/>
    <n v="27.95"/>
    <n v="0"/>
    <n v="11.95"/>
    <s v="North"/>
    <s v="Credit Card"/>
  </r>
  <r>
    <s v="ORD-10330"/>
    <x v="77"/>
    <s v="CUST-0100"/>
    <s v="Customer 100"/>
    <x v="1"/>
    <x v="2"/>
    <n v="6"/>
    <n v="8.5299999999999994"/>
    <n v="46.06"/>
    <n v="0.1"/>
    <n v="19.93"/>
    <s v="West"/>
    <s v="Cash"/>
  </r>
  <r>
    <s v="ORD-10331"/>
    <x v="210"/>
    <s v="CUST-0059"/>
    <s v="Customer 59"/>
    <x v="0"/>
    <x v="4"/>
    <n v="7"/>
    <n v="871.77"/>
    <n v="5797.27"/>
    <n v="0.05"/>
    <n v="1189.8399999999999"/>
    <s v="South"/>
    <s v="Debit Card"/>
  </r>
  <r>
    <s v="ORD-10332"/>
    <x v="211"/>
    <s v="CUST-0076"/>
    <s v="Customer 76"/>
    <x v="3"/>
    <x v="11"/>
    <n v="1"/>
    <n v="62.62"/>
    <n v="62.62"/>
    <n v="0"/>
    <n v="23.46"/>
    <s v="South"/>
    <s v="Debit Card"/>
  </r>
  <r>
    <s v="ORD-10333"/>
    <x v="164"/>
    <s v="CUST-0088"/>
    <s v="Customer 88"/>
    <x v="0"/>
    <x v="7"/>
    <n v="2"/>
    <n v="573.69000000000005"/>
    <n v="1090.01"/>
    <n v="0.05"/>
    <n v="198.15"/>
    <s v="West"/>
    <s v="Bank Transfer"/>
  </r>
  <r>
    <s v="ORD-10334"/>
    <x v="180"/>
    <s v="CUST-0107"/>
    <s v="Customer 107"/>
    <x v="3"/>
    <x v="18"/>
    <n v="3"/>
    <n v="105.18"/>
    <n v="268.20999999999998"/>
    <n v="0.15"/>
    <n v="100"/>
    <s v="South"/>
    <s v="Mobile Banking"/>
  </r>
  <r>
    <s v="ORD-10335"/>
    <x v="172"/>
    <s v="CUST-0112"/>
    <s v="Customer 112"/>
    <x v="2"/>
    <x v="12"/>
    <n v="4"/>
    <n v="482.34"/>
    <n v="1929.36"/>
    <n v="0"/>
    <n v="595.65"/>
    <s v="North"/>
    <s v="Credit Card"/>
  </r>
  <r>
    <s v="ORD-10336"/>
    <x v="163"/>
    <s v="CUST-0055"/>
    <s v="Customer 55"/>
    <x v="3"/>
    <x v="18"/>
    <n v="2"/>
    <n v="31.93"/>
    <n v="63.86"/>
    <n v="0"/>
    <n v="23.23"/>
    <s v="North"/>
    <s v="Credit Card"/>
  </r>
  <r>
    <s v="ORD-10337"/>
    <x v="78"/>
    <s v="CUST-0068"/>
    <s v="Customer 68"/>
    <x v="0"/>
    <x v="3"/>
    <n v="7"/>
    <n v="1134.18"/>
    <n v="7939.26"/>
    <n v="0"/>
    <n v="1554.01"/>
    <s v="East"/>
    <s v="Cash"/>
  </r>
  <r>
    <s v="ORD-10338"/>
    <x v="72"/>
    <s v="CUST-0118"/>
    <s v="Customer 118"/>
    <x v="3"/>
    <x v="18"/>
    <n v="7"/>
    <n v="94.07"/>
    <n v="625.57000000000005"/>
    <n v="0.05"/>
    <n v="235.38"/>
    <s v="South"/>
    <s v="Mobile Banking"/>
  </r>
  <r>
    <s v="ORD-10339"/>
    <x v="212"/>
    <s v="CUST-0082"/>
    <s v="Customer 82"/>
    <x v="0"/>
    <x v="4"/>
    <n v="5"/>
    <n v="991.06"/>
    <n v="4212"/>
    <n v="0.15"/>
    <n v="857.73"/>
    <s v="North"/>
    <s v="Mobile Banking"/>
  </r>
  <r>
    <s v="ORD-10340"/>
    <x v="175"/>
    <s v="CUST-0109"/>
    <s v="Customer 109"/>
    <x v="1"/>
    <x v="13"/>
    <n v="7"/>
    <n v="49.8"/>
    <n v="348.6"/>
    <n v="0"/>
    <n v="151.96"/>
    <s v="East"/>
    <s v="Cash"/>
  </r>
  <r>
    <s v="ORD-10341"/>
    <x v="213"/>
    <s v="CUST-0108"/>
    <s v="Customer 108"/>
    <x v="1"/>
    <x v="19"/>
    <n v="4"/>
    <n v="33.43"/>
    <n v="120.35"/>
    <n v="0.1"/>
    <n v="52.23"/>
    <s v="West"/>
    <s v="Bank Transfer"/>
  </r>
  <r>
    <s v="ORD-10342"/>
    <x v="212"/>
    <s v="CUST-0057"/>
    <s v="Customer 57"/>
    <x v="0"/>
    <x v="3"/>
    <n v="1"/>
    <n v="156.03"/>
    <n v="148.22999999999999"/>
    <n v="0.05"/>
    <n v="29.94"/>
    <s v="North"/>
    <s v="Debit Card"/>
  </r>
  <r>
    <s v="ORD-10343"/>
    <x v="143"/>
    <s v="CUST-0024"/>
    <s v="Customer 24"/>
    <x v="0"/>
    <x v="0"/>
    <n v="2"/>
    <n v="47.71"/>
    <n v="95.42"/>
    <n v="0"/>
    <n v="18.850000000000001"/>
    <s v="North"/>
    <s v="Mobile Banking"/>
  </r>
  <r>
    <s v="ORD-10344"/>
    <x v="40"/>
    <s v="CUST-0054"/>
    <s v="Customer 54"/>
    <x v="2"/>
    <x v="12"/>
    <n v="4"/>
    <n v="36.65"/>
    <n v="139.27000000000001"/>
    <n v="0.05"/>
    <n v="39.15"/>
    <s v="West"/>
    <s v="Debit Card"/>
  </r>
  <r>
    <s v="ORD-10345"/>
    <x v="214"/>
    <s v="CUST-0028"/>
    <s v="Customer 28"/>
    <x v="1"/>
    <x v="19"/>
    <n v="7"/>
    <n v="19.93"/>
    <n v="139.51"/>
    <n v="0"/>
    <n v="57.8"/>
    <s v="South"/>
    <s v="Bank Transfer"/>
  </r>
  <r>
    <s v="ORD-10346"/>
    <x v="215"/>
    <s v="CUST-0037"/>
    <s v="Customer 37"/>
    <x v="0"/>
    <x v="7"/>
    <n v="6"/>
    <n v="536.72"/>
    <n v="3059.3"/>
    <n v="0.05"/>
    <n v="611.08000000000004"/>
    <s v="East"/>
    <s v="Debit Card"/>
  </r>
  <r>
    <s v="ORD-10347"/>
    <x v="50"/>
    <s v="CUST-0012"/>
    <s v="Customer 12"/>
    <x v="0"/>
    <x v="7"/>
    <n v="3"/>
    <n v="804.03"/>
    <n v="2291.4899999999998"/>
    <n v="0.05"/>
    <n v="420.77"/>
    <s v="East"/>
    <s v="Credit Card"/>
  </r>
  <r>
    <s v="ORD-10348"/>
    <x v="166"/>
    <s v="CUST-0120"/>
    <s v="Customer 120"/>
    <x v="2"/>
    <x v="12"/>
    <n v="5"/>
    <n v="296.66000000000003"/>
    <n v="1409.14"/>
    <n v="0.05"/>
    <n v="434.06"/>
    <s v="North"/>
    <s v="Bank Transfer"/>
  </r>
  <r>
    <s v="ORD-10349"/>
    <x v="210"/>
    <s v="CUST-0079"/>
    <s v="Customer 79"/>
    <x v="0"/>
    <x v="4"/>
    <n v="4"/>
    <n v="581.73"/>
    <n v="2326.92"/>
    <n v="0"/>
    <n v="421.79"/>
    <s v="North"/>
    <s v="Bank Transfer"/>
  </r>
  <r>
    <s v="ORD-10350"/>
    <x v="216"/>
    <s v="CUST-0015"/>
    <s v="Customer 15"/>
    <x v="2"/>
    <x v="5"/>
    <n v="4"/>
    <n v="550.54"/>
    <n v="2202.16"/>
    <n v="0"/>
    <n v="634.73"/>
    <s v="East"/>
    <s v="Debit Card"/>
  </r>
  <r>
    <s v="ORD-10351"/>
    <x v="66"/>
    <s v="CUST-0083"/>
    <s v="Customer 83"/>
    <x v="3"/>
    <x v="18"/>
    <n v="3"/>
    <n v="176.84"/>
    <n v="503.99"/>
    <n v="0.05"/>
    <n v="182.85"/>
    <s v="East"/>
    <s v="Cash"/>
  </r>
  <r>
    <s v="ORD-10352"/>
    <x v="93"/>
    <s v="CUST-0047"/>
    <s v="Customer 47"/>
    <x v="1"/>
    <x v="13"/>
    <n v="4"/>
    <n v="28.98"/>
    <n v="104.33"/>
    <n v="0.1"/>
    <n v="44.22"/>
    <s v="East"/>
    <s v="Credit Card"/>
  </r>
  <r>
    <s v="ORD-10353"/>
    <x v="217"/>
    <s v="CUST-0114"/>
    <s v="Customer 114"/>
    <x v="1"/>
    <x v="2"/>
    <n v="5"/>
    <n v="41.29"/>
    <n v="206.45"/>
    <n v="0"/>
    <n v="90.56"/>
    <s v="North"/>
    <s v="Debit Card"/>
  </r>
  <r>
    <s v="ORD-10354"/>
    <x v="8"/>
    <s v="CUST-0096"/>
    <s v="Customer 96"/>
    <x v="0"/>
    <x v="9"/>
    <n v="5"/>
    <n v="1140.1600000000001"/>
    <n v="4560.6400000000003"/>
    <n v="0.2"/>
    <n v="872.78"/>
    <s v="South"/>
    <s v="Debit Card"/>
  </r>
  <r>
    <s v="ORD-10355"/>
    <x v="39"/>
    <s v="CUST-0094"/>
    <s v="Customer 94"/>
    <x v="2"/>
    <x v="6"/>
    <n v="3"/>
    <n v="141.05000000000001"/>
    <n v="401.99"/>
    <n v="0.05"/>
    <n v="122.09"/>
    <s v="East"/>
    <s v="Cash"/>
  </r>
  <r>
    <s v="ORD-10356"/>
    <x v="195"/>
    <s v="CUST-0050"/>
    <s v="Customer 50"/>
    <x v="3"/>
    <x v="11"/>
    <n v="3"/>
    <n v="75.400000000000006"/>
    <n v="203.58"/>
    <n v="0.1"/>
    <n v="78.73"/>
    <s v="West"/>
    <s v="Mobile Banking"/>
  </r>
  <r>
    <s v="ORD-10357"/>
    <x v="218"/>
    <s v="CUST-0062"/>
    <s v="Customer 62"/>
    <x v="2"/>
    <x v="14"/>
    <n v="1"/>
    <n v="176.81"/>
    <n v="167.97"/>
    <n v="0.05"/>
    <n v="47.44"/>
    <s v="East"/>
    <s v="Debit Card"/>
  </r>
  <r>
    <s v="ORD-10358"/>
    <x v="110"/>
    <s v="CUST-0115"/>
    <s v="Customer 115"/>
    <x v="3"/>
    <x v="8"/>
    <n v="5"/>
    <n v="164.16"/>
    <n v="697.68"/>
    <n v="0.15"/>
    <n v="252"/>
    <s v="North"/>
    <s v="Debit Card"/>
  </r>
  <r>
    <s v="ORD-10359"/>
    <x v="219"/>
    <s v="CUST-0008"/>
    <s v="Customer 8"/>
    <x v="3"/>
    <x v="15"/>
    <n v="6"/>
    <n v="131.55000000000001"/>
    <n v="789.3"/>
    <n v="0"/>
    <n v="292.66000000000003"/>
    <s v="East"/>
    <s v="Credit Card"/>
  </r>
  <r>
    <s v="ORD-10360"/>
    <x v="44"/>
    <s v="CUST-0093"/>
    <s v="Customer 93"/>
    <x v="0"/>
    <x v="9"/>
    <n v="6"/>
    <n v="733.6"/>
    <n v="3741.36"/>
    <n v="0.15"/>
    <n v="697.64"/>
    <s v="West"/>
    <s v="Cash"/>
  </r>
  <r>
    <s v="ORD-10361"/>
    <x v="220"/>
    <s v="CUST-0042"/>
    <s v="Customer 42"/>
    <x v="0"/>
    <x v="3"/>
    <n v="4"/>
    <n v="234.02"/>
    <n v="889.28"/>
    <n v="0.05"/>
    <n v="165.19"/>
    <s v="South"/>
    <s v="Bank Transfer"/>
  </r>
  <r>
    <s v="ORD-10362"/>
    <x v="3"/>
    <s v="CUST-0013"/>
    <s v="Customer 13"/>
    <x v="0"/>
    <x v="0"/>
    <n v="5"/>
    <n v="164.24"/>
    <n v="821.2"/>
    <n v="0"/>
    <n v="162.65"/>
    <s v="East"/>
    <s v="Debit Card"/>
  </r>
  <r>
    <s v="ORD-10363"/>
    <x v="221"/>
    <s v="CUST-0071"/>
    <s v="Customer 71"/>
    <x v="3"/>
    <x v="18"/>
    <n v="1"/>
    <n v="117.3"/>
    <n v="117.3"/>
    <n v="0"/>
    <n v="45.63"/>
    <s v="East"/>
    <s v="Credit Card"/>
  </r>
  <r>
    <s v="ORD-10364"/>
    <x v="45"/>
    <s v="CUST-0017"/>
    <s v="Customer 17"/>
    <x v="2"/>
    <x v="10"/>
    <n v="2"/>
    <n v="694.94"/>
    <n v="1320.39"/>
    <n v="0.05"/>
    <n v="386.59"/>
    <s v="South"/>
    <s v="Cash"/>
  </r>
  <r>
    <s v="ORD-10365"/>
    <x v="35"/>
    <s v="CUST-0026"/>
    <s v="Customer 26"/>
    <x v="3"/>
    <x v="18"/>
    <n v="5"/>
    <n v="175.59"/>
    <n v="877.95"/>
    <n v="0"/>
    <n v="320.27999999999997"/>
    <s v="North"/>
    <s v="Credit Card"/>
  </r>
  <r>
    <s v="ORD-10366"/>
    <x v="168"/>
    <s v="CUST-0098"/>
    <s v="Customer 98"/>
    <x v="0"/>
    <x v="7"/>
    <n v="5"/>
    <n v="289.25"/>
    <n v="1373.94"/>
    <n v="0.05"/>
    <n v="258.88"/>
    <s v="West"/>
    <s v="Mobile Banking"/>
  </r>
  <r>
    <s v="ORD-10367"/>
    <x v="222"/>
    <s v="CUST-0115"/>
    <s v="Customer 115"/>
    <x v="2"/>
    <x v="5"/>
    <n v="3"/>
    <n v="126.36"/>
    <n v="360.13"/>
    <n v="0.05"/>
    <n v="101.88"/>
    <s v="South"/>
    <s v="Bank Transfer"/>
  </r>
  <r>
    <s v="ORD-10368"/>
    <x v="223"/>
    <s v="CUST-0106"/>
    <s v="Customer 106"/>
    <x v="2"/>
    <x v="5"/>
    <n v="4"/>
    <n v="363.35"/>
    <n v="1453.4"/>
    <n v="0"/>
    <n v="424.78"/>
    <s v="North"/>
    <s v="Mobile Banking"/>
  </r>
  <r>
    <s v="ORD-10369"/>
    <x v="224"/>
    <s v="CUST-0015"/>
    <s v="Customer 15"/>
    <x v="1"/>
    <x v="19"/>
    <n v="3"/>
    <n v="42.03"/>
    <n v="119.79"/>
    <n v="0.05"/>
    <n v="49.79"/>
    <s v="West"/>
    <s v="Bank Transfer"/>
  </r>
  <r>
    <s v="ORD-10370"/>
    <x v="225"/>
    <s v="CUST-0024"/>
    <s v="Customer 24"/>
    <x v="1"/>
    <x v="16"/>
    <n v="2"/>
    <n v="66.510000000000005"/>
    <n v="126.37"/>
    <n v="0.05"/>
    <n v="53.85"/>
    <s v="North"/>
    <s v="Cash"/>
  </r>
  <r>
    <s v="ORD-10371"/>
    <x v="226"/>
    <s v="CUST-0053"/>
    <s v="Customer 53"/>
    <x v="2"/>
    <x v="6"/>
    <n v="6"/>
    <n v="386.45"/>
    <n v="2086.83"/>
    <n v="0.1"/>
    <n v="643.08000000000004"/>
    <s v="South"/>
    <s v="Bank Transfer"/>
  </r>
  <r>
    <s v="ORD-10372"/>
    <x v="130"/>
    <s v="CUST-0084"/>
    <s v="Customer 84"/>
    <x v="1"/>
    <x v="16"/>
    <n v="3"/>
    <n v="70.97"/>
    <n v="212.91"/>
    <n v="0"/>
    <n v="92.46"/>
    <s v="West"/>
    <s v="Mobile Banking"/>
  </r>
  <r>
    <s v="ORD-10373"/>
    <x v="164"/>
    <s v="CUST-0058"/>
    <s v="Customer 58"/>
    <x v="1"/>
    <x v="13"/>
    <n v="2"/>
    <n v="72"/>
    <n v="122.4"/>
    <n v="0.15"/>
    <n v="52.93"/>
    <s v="East"/>
    <s v="Credit Card"/>
  </r>
  <r>
    <s v="ORD-10374"/>
    <x v="187"/>
    <s v="CUST-0118"/>
    <s v="Customer 118"/>
    <x v="0"/>
    <x v="3"/>
    <n v="4"/>
    <n v="1182.21"/>
    <n v="4255.96"/>
    <n v="0.1"/>
    <n v="843.55"/>
    <s v="North"/>
    <s v="Credit Card"/>
  </r>
  <r>
    <s v="ORD-10375"/>
    <x v="197"/>
    <s v="CUST-0032"/>
    <s v="Customer 32"/>
    <x v="2"/>
    <x v="10"/>
    <n v="3"/>
    <n v="210.24"/>
    <n v="599.17999999999995"/>
    <n v="0.05"/>
    <n v="180.91"/>
    <s v="West"/>
    <s v="Debit Card"/>
  </r>
  <r>
    <s v="ORD-10376"/>
    <x v="224"/>
    <s v="CUST-0048"/>
    <s v="Customer 48"/>
    <x v="2"/>
    <x v="12"/>
    <n v="4"/>
    <n v="453.55"/>
    <n v="1814.2"/>
    <n v="0"/>
    <n v="531.91999999999996"/>
    <s v="North"/>
    <s v="Credit Card"/>
  </r>
  <r>
    <s v="ORD-10377"/>
    <x v="227"/>
    <s v="CUST-0081"/>
    <s v="Customer 81"/>
    <x v="1"/>
    <x v="1"/>
    <n v="1"/>
    <n v="37.56"/>
    <n v="37.56"/>
    <n v="0"/>
    <n v="16.32"/>
    <s v="East"/>
    <s v="Mobile Banking"/>
  </r>
  <r>
    <s v="ORD-10378"/>
    <x v="228"/>
    <s v="CUST-0057"/>
    <s v="Customer 57"/>
    <x v="3"/>
    <x v="17"/>
    <n v="1"/>
    <n v="13.31"/>
    <n v="13.31"/>
    <n v="0"/>
    <n v="5.13"/>
    <s v="South"/>
    <s v="Cash"/>
  </r>
  <r>
    <s v="ORD-10379"/>
    <x v="67"/>
    <s v="CUST-0063"/>
    <s v="Customer 63"/>
    <x v="3"/>
    <x v="11"/>
    <n v="1"/>
    <n v="133.05000000000001"/>
    <n v="119.75"/>
    <n v="0.1"/>
    <n v="43.3"/>
    <s v="North"/>
    <s v="Credit Card"/>
  </r>
  <r>
    <s v="ORD-10380"/>
    <x v="229"/>
    <s v="CUST-0096"/>
    <s v="Customer 96"/>
    <x v="2"/>
    <x v="5"/>
    <n v="4"/>
    <n v="287.52"/>
    <n v="1150.08"/>
    <n v="0"/>
    <n v="327.58"/>
    <s v="West"/>
    <s v="Debit Card"/>
  </r>
  <r>
    <s v="ORD-10381"/>
    <x v="230"/>
    <s v="CUST-0119"/>
    <s v="Customer 119"/>
    <x v="1"/>
    <x v="2"/>
    <n v="4"/>
    <n v="46.04"/>
    <n v="174.95"/>
    <n v="0.05"/>
    <n v="73.27"/>
    <s v="North"/>
    <s v="Credit Card"/>
  </r>
  <r>
    <s v="ORD-10382"/>
    <x v="231"/>
    <s v="CUST-0069"/>
    <s v="Customer 69"/>
    <x v="2"/>
    <x v="6"/>
    <n v="3"/>
    <n v="353.12"/>
    <n v="1059.3599999999999"/>
    <n v="0"/>
    <n v="297.83999999999997"/>
    <s v="South"/>
    <s v="Mobile Banking"/>
  </r>
  <r>
    <s v="ORD-10383"/>
    <x v="232"/>
    <s v="CUST-0074"/>
    <s v="Customer 74"/>
    <x v="3"/>
    <x v="11"/>
    <n v="1"/>
    <n v="35.049999999999997"/>
    <n v="33.299999999999997"/>
    <n v="0.05"/>
    <n v="12.7"/>
    <s v="West"/>
    <s v="Mobile Banking"/>
  </r>
  <r>
    <s v="ORD-10384"/>
    <x v="142"/>
    <s v="CUST-0016"/>
    <s v="Customer 16"/>
    <x v="2"/>
    <x v="14"/>
    <n v="7"/>
    <n v="637.08000000000004"/>
    <n v="4459.5600000000004"/>
    <n v="0"/>
    <n v="1292.29"/>
    <s v="West"/>
    <s v="Credit Card"/>
  </r>
  <r>
    <s v="ORD-10385"/>
    <x v="216"/>
    <s v="CUST-0005"/>
    <s v="Customer 5"/>
    <x v="2"/>
    <x v="6"/>
    <n v="3"/>
    <n v="305.81"/>
    <n v="779.82"/>
    <n v="0.15"/>
    <n v="231.67"/>
    <s v="West"/>
    <s v="Bank Transfer"/>
  </r>
  <r>
    <s v="ORD-10386"/>
    <x v="124"/>
    <s v="CUST-0062"/>
    <s v="Customer 62"/>
    <x v="0"/>
    <x v="3"/>
    <n v="2"/>
    <n v="533.5"/>
    <n v="960.3"/>
    <n v="0.1"/>
    <n v="192.09"/>
    <s v="South"/>
    <s v="Cash"/>
  </r>
  <r>
    <s v="ORD-10387"/>
    <x v="89"/>
    <s v="CUST-0007"/>
    <s v="Customer 7"/>
    <x v="3"/>
    <x v="8"/>
    <n v="7"/>
    <n v="27.98"/>
    <n v="176.27"/>
    <n v="0.1"/>
    <n v="64.59"/>
    <s v="North"/>
    <s v="Cash"/>
  </r>
  <r>
    <s v="ORD-10388"/>
    <x v="95"/>
    <s v="CUST-0074"/>
    <s v="Customer 74"/>
    <x v="0"/>
    <x v="9"/>
    <n v="1"/>
    <n v="1176.93"/>
    <n v="1176.93"/>
    <n v="0"/>
    <n v="228.84"/>
    <s v="North"/>
    <s v="Debit Card"/>
  </r>
  <r>
    <s v="ORD-10389"/>
    <x v="233"/>
    <s v="CUST-0041"/>
    <s v="Customer 41"/>
    <x v="3"/>
    <x v="15"/>
    <n v="5"/>
    <n v="40.65"/>
    <n v="182.92"/>
    <n v="0.1"/>
    <n v="70.22"/>
    <s v="North"/>
    <s v="Cash"/>
  </r>
  <r>
    <s v="ORD-10390"/>
    <x v="234"/>
    <s v="CUST-0098"/>
    <s v="Customer 98"/>
    <x v="0"/>
    <x v="3"/>
    <n v="1"/>
    <n v="894.69"/>
    <n v="805.22"/>
    <n v="0.1"/>
    <n v="155.82"/>
    <s v="South"/>
    <s v="Debit Card"/>
  </r>
  <r>
    <s v="ORD-10391"/>
    <x v="193"/>
    <s v="CUST-0111"/>
    <s v="Customer 111"/>
    <x v="1"/>
    <x v="1"/>
    <n v="6"/>
    <n v="8.26"/>
    <n v="47.08"/>
    <n v="0.05"/>
    <n v="19.73"/>
    <s v="East"/>
    <s v="Cash"/>
  </r>
  <r>
    <s v="ORD-10392"/>
    <x v="235"/>
    <s v="CUST-0034"/>
    <s v="Customer 34"/>
    <x v="0"/>
    <x v="9"/>
    <n v="6"/>
    <n v="1158.8900000000001"/>
    <n v="6953.34"/>
    <n v="0"/>
    <n v="1319.18"/>
    <s v="North"/>
    <s v="Credit Card"/>
  </r>
  <r>
    <s v="ORD-10393"/>
    <x v="236"/>
    <s v="CUST-0029"/>
    <s v="Customer 29"/>
    <x v="2"/>
    <x v="14"/>
    <n v="4"/>
    <n v="664.31"/>
    <n v="2657.24"/>
    <n v="0"/>
    <n v="811.4"/>
    <s v="East"/>
    <s v="Mobile Banking"/>
  </r>
  <r>
    <s v="ORD-10394"/>
    <x v="237"/>
    <s v="CUST-0022"/>
    <s v="Customer 22"/>
    <x v="1"/>
    <x v="16"/>
    <n v="4"/>
    <n v="56.99"/>
    <n v="205.16"/>
    <n v="0.1"/>
    <n v="87.76"/>
    <s v="North"/>
    <s v="Bank Transfer"/>
  </r>
  <r>
    <s v="ORD-10395"/>
    <x v="90"/>
    <s v="CUST-0036"/>
    <s v="Customer 36"/>
    <x v="1"/>
    <x v="13"/>
    <n v="3"/>
    <n v="76.73"/>
    <n v="218.68"/>
    <n v="0.05"/>
    <n v="90.71"/>
    <s v="South"/>
    <s v="Credit Card"/>
  </r>
  <r>
    <s v="ORD-10396"/>
    <x v="205"/>
    <s v="CUST-0050"/>
    <s v="Customer 50"/>
    <x v="2"/>
    <x v="14"/>
    <n v="3"/>
    <n v="626.34"/>
    <n v="1879.02"/>
    <n v="0"/>
    <n v="536.99"/>
    <s v="East"/>
    <s v="Cash"/>
  </r>
  <r>
    <s v="ORD-10397"/>
    <x v="237"/>
    <s v="CUST-0092"/>
    <s v="Customer 92"/>
    <x v="2"/>
    <x v="12"/>
    <n v="1"/>
    <n v="396.41"/>
    <n v="356.77"/>
    <n v="0.1"/>
    <n v="103.1"/>
    <s v="North"/>
    <s v="Credit Card"/>
  </r>
  <r>
    <s v="ORD-10398"/>
    <x v="187"/>
    <s v="CUST-0063"/>
    <s v="Customer 63"/>
    <x v="3"/>
    <x v="8"/>
    <n v="1"/>
    <n v="44.88"/>
    <n v="44.88"/>
    <n v="0"/>
    <n v="17.170000000000002"/>
    <s v="West"/>
    <s v="Mobile Banking"/>
  </r>
  <r>
    <s v="ORD-10399"/>
    <x v="233"/>
    <s v="CUST-0058"/>
    <s v="Customer 58"/>
    <x v="2"/>
    <x v="14"/>
    <n v="1"/>
    <n v="480.82"/>
    <n v="480.82"/>
    <n v="0"/>
    <n v="135.33000000000001"/>
    <s v="South"/>
    <s v="Debit Card"/>
  </r>
  <r>
    <s v="ORD-10400"/>
    <x v="238"/>
    <s v="CUST-0059"/>
    <s v="Customer 59"/>
    <x v="3"/>
    <x v="11"/>
    <n v="7"/>
    <n v="101.61"/>
    <n v="711.27"/>
    <n v="0"/>
    <n v="264.23"/>
    <s v="North"/>
    <s v="Mobile Banking"/>
  </r>
  <r>
    <s v="ORD-10401"/>
    <x v="239"/>
    <s v="CUST-0073"/>
    <s v="Customer 73"/>
    <x v="2"/>
    <x v="14"/>
    <n v="5"/>
    <n v="421.58"/>
    <n v="2002.5"/>
    <n v="0.05"/>
    <n v="604.62"/>
    <s v="West"/>
    <s v="Credit Card"/>
  </r>
  <r>
    <s v="ORD-10402"/>
    <x v="240"/>
    <s v="CUST-0056"/>
    <s v="Customer 56"/>
    <x v="3"/>
    <x v="18"/>
    <n v="3"/>
    <n v="86.15"/>
    <n v="232.6"/>
    <n v="0.1"/>
    <n v="88.98"/>
    <s v="West"/>
    <s v="Debit Card"/>
  </r>
  <r>
    <s v="ORD-10403"/>
    <x v="241"/>
    <s v="CUST-0107"/>
    <s v="Customer 107"/>
    <x v="2"/>
    <x v="10"/>
    <n v="5"/>
    <n v="555.27"/>
    <n v="2637.53"/>
    <n v="0.05"/>
    <n v="778.07"/>
    <s v="West"/>
    <s v="Mobile Banking"/>
  </r>
  <r>
    <s v="ORD-10404"/>
    <x v="242"/>
    <s v="CUST-0086"/>
    <s v="Customer 86"/>
    <x v="1"/>
    <x v="16"/>
    <n v="7"/>
    <n v="7.33"/>
    <n v="48.74"/>
    <n v="0.05"/>
    <n v="20.09"/>
    <s v="East"/>
    <s v="Credit Card"/>
  </r>
  <r>
    <s v="ORD-10405"/>
    <x v="15"/>
    <s v="CUST-0001"/>
    <s v="Customer 1"/>
    <x v="1"/>
    <x v="2"/>
    <n v="6"/>
    <n v="15.28"/>
    <n v="91.68"/>
    <n v="0"/>
    <n v="40.15"/>
    <s v="South"/>
    <s v="Cash"/>
  </r>
  <r>
    <s v="ORD-10406"/>
    <x v="71"/>
    <s v="CUST-0047"/>
    <s v="Customer 47"/>
    <x v="1"/>
    <x v="1"/>
    <n v="4"/>
    <n v="37.36"/>
    <n v="127.02"/>
    <n v="0.15"/>
    <n v="55.86"/>
    <s v="West"/>
    <s v="Cash"/>
  </r>
  <r>
    <s v="ORD-10407"/>
    <x v="82"/>
    <s v="CUST-0025"/>
    <s v="Customer 25"/>
    <x v="2"/>
    <x v="10"/>
    <n v="5"/>
    <n v="527.5"/>
    <n v="2637.5"/>
    <n v="0"/>
    <n v="748.58"/>
    <s v="North"/>
    <s v="Bank Transfer"/>
  </r>
  <r>
    <s v="ORD-10408"/>
    <x v="243"/>
    <s v="CUST-0106"/>
    <s v="Customer 106"/>
    <x v="0"/>
    <x v="9"/>
    <n v="2"/>
    <n v="1130.82"/>
    <n v="1922.39"/>
    <n v="0.15"/>
    <n v="397.79"/>
    <s v="North"/>
    <s v="Mobile Banking"/>
  </r>
  <r>
    <s v="ORD-10409"/>
    <x v="150"/>
    <s v="CUST-0005"/>
    <s v="Customer 5"/>
    <x v="3"/>
    <x v="18"/>
    <n v="2"/>
    <n v="160.11000000000001"/>
    <n v="304.20999999999998"/>
    <n v="0.05"/>
    <n v="114.43"/>
    <s v="South"/>
    <s v="Credit Card"/>
  </r>
  <r>
    <s v="ORD-10410"/>
    <x v="37"/>
    <s v="CUST-0111"/>
    <s v="Customer 111"/>
    <x v="0"/>
    <x v="7"/>
    <n v="5"/>
    <n v="508.03"/>
    <n v="2286.14"/>
    <n v="0.1"/>
    <n v="453.7"/>
    <s v="West"/>
    <s v="Bank Transfer"/>
  </r>
  <r>
    <s v="ORD-10411"/>
    <x v="244"/>
    <s v="CUST-0108"/>
    <s v="Customer 108"/>
    <x v="0"/>
    <x v="0"/>
    <n v="2"/>
    <n v="373.72"/>
    <n v="710.07"/>
    <n v="0.05"/>
    <n v="141.76"/>
    <s v="South"/>
    <s v="Mobile Banking"/>
  </r>
  <r>
    <s v="ORD-10412"/>
    <x v="167"/>
    <s v="CUST-0010"/>
    <s v="Customer 10"/>
    <x v="1"/>
    <x v="1"/>
    <n v="7"/>
    <n v="11.11"/>
    <n v="77.77"/>
    <n v="0"/>
    <n v="33.01"/>
    <s v="West"/>
    <s v="Mobile Banking"/>
  </r>
  <r>
    <s v="ORD-10413"/>
    <x v="150"/>
    <s v="CUST-0015"/>
    <s v="Customer 15"/>
    <x v="0"/>
    <x v="3"/>
    <n v="6"/>
    <n v="1152.8399999999999"/>
    <n v="6225.34"/>
    <n v="0.1"/>
    <n v="1203.32"/>
    <s v="East"/>
    <s v="Credit Card"/>
  </r>
  <r>
    <s v="ORD-10414"/>
    <x v="99"/>
    <s v="CUST-0074"/>
    <s v="Customer 74"/>
    <x v="2"/>
    <x v="14"/>
    <n v="7"/>
    <n v="534.91"/>
    <n v="3744.37"/>
    <n v="0"/>
    <n v="1123.96"/>
    <s v="North"/>
    <s v="Credit Card"/>
  </r>
  <r>
    <s v="ORD-10415"/>
    <x v="200"/>
    <s v="CUST-0049"/>
    <s v="Customer 49"/>
    <x v="1"/>
    <x v="16"/>
    <n v="5"/>
    <n v="12.02"/>
    <n v="57.1"/>
    <n v="0.05"/>
    <n v="24.88"/>
    <s v="South"/>
    <s v="Credit Card"/>
  </r>
  <r>
    <s v="ORD-10416"/>
    <x v="222"/>
    <s v="CUST-0049"/>
    <s v="Customer 49"/>
    <x v="0"/>
    <x v="0"/>
    <n v="3"/>
    <n v="265.07"/>
    <n v="755.45"/>
    <n v="0.05"/>
    <n v="149.13999999999999"/>
    <s v="North"/>
    <s v="Credit Card"/>
  </r>
  <r>
    <s v="ORD-10417"/>
    <x v="41"/>
    <s v="CUST-0003"/>
    <s v="Customer 3"/>
    <x v="3"/>
    <x v="11"/>
    <n v="7"/>
    <n v="160.33000000000001"/>
    <n v="1122.31"/>
    <n v="0"/>
    <n v="413.64"/>
    <s v="West"/>
    <s v="Credit Card"/>
  </r>
  <r>
    <s v="ORD-10418"/>
    <x v="163"/>
    <s v="CUST-0056"/>
    <s v="Customer 56"/>
    <x v="1"/>
    <x v="13"/>
    <n v="1"/>
    <n v="38.81"/>
    <n v="32.99"/>
    <n v="0.15"/>
    <n v="14.31"/>
    <s v="West"/>
    <s v="Mobile Banking"/>
  </r>
  <r>
    <s v="ORD-10419"/>
    <x v="245"/>
    <s v="CUST-0019"/>
    <s v="Customer 19"/>
    <x v="0"/>
    <x v="0"/>
    <n v="2"/>
    <n v="500.37"/>
    <n v="950.7"/>
    <n v="0.05"/>
    <n v="199.27"/>
    <s v="South"/>
    <s v="Credit Card"/>
  </r>
  <r>
    <s v="ORD-10420"/>
    <x v="200"/>
    <s v="CUST-0066"/>
    <s v="Customer 66"/>
    <x v="3"/>
    <x v="11"/>
    <n v="6"/>
    <n v="90.43"/>
    <n v="542.58000000000004"/>
    <n v="0"/>
    <n v="199.51"/>
    <s v="East"/>
    <s v="Cash"/>
  </r>
  <r>
    <s v="ORD-10421"/>
    <x v="171"/>
    <s v="CUST-0082"/>
    <s v="Customer 82"/>
    <x v="2"/>
    <x v="12"/>
    <n v="2"/>
    <n v="373.96"/>
    <n v="598.34"/>
    <n v="0.2"/>
    <n v="181.33"/>
    <s v="North"/>
    <s v="Mobile Banking"/>
  </r>
  <r>
    <s v="ORD-10422"/>
    <x v="245"/>
    <s v="CUST-0003"/>
    <s v="Customer 3"/>
    <x v="0"/>
    <x v="3"/>
    <n v="6"/>
    <n v="881.85"/>
    <n v="4761.99"/>
    <n v="0.1"/>
    <n v="899.07"/>
    <s v="West"/>
    <s v="Mobile Banking"/>
  </r>
  <r>
    <s v="ORD-10423"/>
    <x v="167"/>
    <s v="CUST-0095"/>
    <s v="Customer 95"/>
    <x v="0"/>
    <x v="3"/>
    <n v="3"/>
    <n v="1116.9100000000001"/>
    <n v="3183.19"/>
    <n v="0.05"/>
    <n v="589.08000000000004"/>
    <s v="West"/>
    <s v="Credit Card"/>
  </r>
  <r>
    <s v="ORD-10424"/>
    <x v="130"/>
    <s v="CUST-0120"/>
    <s v="Customer 120"/>
    <x v="0"/>
    <x v="4"/>
    <n v="7"/>
    <n v="82.17"/>
    <n v="517.66999999999996"/>
    <n v="0.1"/>
    <n v="102.09"/>
    <s v="South"/>
    <s v="Bank Transfer"/>
  </r>
  <r>
    <s v="ORD-10425"/>
    <x v="239"/>
    <s v="CUST-0099"/>
    <s v="Customer 99"/>
    <x v="2"/>
    <x v="10"/>
    <n v="5"/>
    <n v="168.85"/>
    <n v="759.82"/>
    <n v="0.1"/>
    <n v="226.73"/>
    <s v="West"/>
    <s v="Credit Card"/>
  </r>
  <r>
    <s v="ORD-10426"/>
    <x v="196"/>
    <s v="CUST-0095"/>
    <s v="Customer 95"/>
    <x v="0"/>
    <x v="0"/>
    <n v="3"/>
    <n v="533.97"/>
    <n v="1441.72"/>
    <n v="0.1"/>
    <n v="265.89"/>
    <s v="North"/>
    <s v="Debit Card"/>
  </r>
  <r>
    <s v="ORD-10427"/>
    <x v="246"/>
    <s v="CUST-0011"/>
    <s v="Customer 11"/>
    <x v="0"/>
    <x v="0"/>
    <n v="6"/>
    <n v="478.8"/>
    <n v="2585.52"/>
    <n v="0.1"/>
    <n v="528.58000000000004"/>
    <s v="North"/>
    <s v="Mobile Banking"/>
  </r>
  <r>
    <s v="ORD-10428"/>
    <x v="247"/>
    <s v="CUST-0044"/>
    <s v="Customer 44"/>
    <x v="3"/>
    <x v="8"/>
    <n v="3"/>
    <n v="40.32"/>
    <n v="120.96"/>
    <n v="0"/>
    <n v="44.65"/>
    <s v="West"/>
    <s v="Mobile Banking"/>
  </r>
  <r>
    <s v="ORD-10429"/>
    <x v="233"/>
    <s v="CUST-0096"/>
    <s v="Customer 96"/>
    <x v="3"/>
    <x v="17"/>
    <n v="1"/>
    <n v="54.77"/>
    <n v="49.29"/>
    <n v="0.1"/>
    <n v="18.829999999999998"/>
    <s v="South"/>
    <s v="Mobile Banking"/>
  </r>
  <r>
    <s v="ORD-10430"/>
    <x v="171"/>
    <s v="CUST-0096"/>
    <s v="Customer 96"/>
    <x v="1"/>
    <x v="13"/>
    <n v="4"/>
    <n v="38.659999999999997"/>
    <n v="154.63999999999999"/>
    <n v="0"/>
    <n v="65"/>
    <s v="East"/>
    <s v="Debit Card"/>
  </r>
  <r>
    <s v="ORD-10431"/>
    <x v="223"/>
    <s v="CUST-0119"/>
    <s v="Customer 119"/>
    <x v="1"/>
    <x v="19"/>
    <n v="6"/>
    <n v="63.58"/>
    <n v="343.33"/>
    <n v="0.1"/>
    <n v="143.36000000000001"/>
    <s v="North"/>
    <s v="Cash"/>
  </r>
  <r>
    <s v="ORD-10432"/>
    <x v="183"/>
    <s v="CUST-0022"/>
    <s v="Customer 22"/>
    <x v="0"/>
    <x v="0"/>
    <n v="6"/>
    <n v="512.91"/>
    <n v="2615.84"/>
    <n v="0.15"/>
    <n v="484.64"/>
    <s v="West"/>
    <s v="Debit Card"/>
  </r>
  <r>
    <s v="ORD-10433"/>
    <x v="117"/>
    <s v="CUST-0110"/>
    <s v="Customer 110"/>
    <x v="1"/>
    <x v="13"/>
    <n v="3"/>
    <n v="42.59"/>
    <n v="114.99"/>
    <n v="0.1"/>
    <n v="49.09"/>
    <s v="North"/>
    <s v="Debit Card"/>
  </r>
  <r>
    <s v="ORD-10434"/>
    <x v="89"/>
    <s v="CUST-0038"/>
    <s v="Customer 38"/>
    <x v="3"/>
    <x v="11"/>
    <n v="3"/>
    <n v="179.81"/>
    <n v="512.46"/>
    <n v="0.05"/>
    <n v="188.36"/>
    <s v="West"/>
    <s v="Bank Transfer"/>
  </r>
  <r>
    <s v="ORD-10435"/>
    <x v="248"/>
    <s v="CUST-0035"/>
    <s v="Customer 35"/>
    <x v="3"/>
    <x v="15"/>
    <n v="7"/>
    <n v="14.94"/>
    <n v="99.35"/>
    <n v="0.05"/>
    <n v="38.36"/>
    <s v="West"/>
    <s v="Mobile Banking"/>
  </r>
  <r>
    <s v="ORD-10436"/>
    <x v="145"/>
    <s v="CUST-0117"/>
    <s v="Customer 117"/>
    <x v="0"/>
    <x v="3"/>
    <n v="3"/>
    <n v="43.5"/>
    <n v="130.5"/>
    <n v="0"/>
    <n v="23.82"/>
    <s v="North"/>
    <s v="Cash"/>
  </r>
  <r>
    <s v="ORD-10437"/>
    <x v="31"/>
    <s v="CUST-0003"/>
    <s v="Customer 3"/>
    <x v="0"/>
    <x v="3"/>
    <n v="5"/>
    <n v="1040.71"/>
    <n v="4683.2"/>
    <n v="0.1"/>
    <n v="901.85"/>
    <s v="North"/>
    <s v="Bank Transfer"/>
  </r>
  <r>
    <s v="ORD-10438"/>
    <x v="122"/>
    <s v="CUST-0061"/>
    <s v="Customer 61"/>
    <x v="1"/>
    <x v="1"/>
    <n v="3"/>
    <n v="47.57"/>
    <n v="128.44"/>
    <n v="0.1"/>
    <n v="53.17"/>
    <s v="East"/>
    <s v="Debit Card"/>
  </r>
  <r>
    <s v="ORD-10439"/>
    <x v="6"/>
    <s v="CUST-0059"/>
    <s v="Customer 59"/>
    <x v="0"/>
    <x v="0"/>
    <n v="5"/>
    <n v="1194.8699999999999"/>
    <n v="4779.4799999999996"/>
    <n v="0.2"/>
    <n v="910.56"/>
    <s v="North"/>
    <s v="Debit Card"/>
  </r>
  <r>
    <s v="ORD-10440"/>
    <x v="156"/>
    <s v="CUST-0075"/>
    <s v="Customer 75"/>
    <x v="1"/>
    <x v="13"/>
    <n v="3"/>
    <n v="67.13"/>
    <n v="191.32"/>
    <n v="0.05"/>
    <n v="79.22"/>
    <s v="West"/>
    <s v="Mobile Banking"/>
  </r>
  <r>
    <s v="ORD-10441"/>
    <x v="164"/>
    <s v="CUST-0041"/>
    <s v="Customer 41"/>
    <x v="0"/>
    <x v="0"/>
    <n v="3"/>
    <n v="844.13"/>
    <n v="2279.15"/>
    <n v="0.1"/>
    <n v="459.8"/>
    <s v="East"/>
    <s v="Credit Card"/>
  </r>
  <r>
    <s v="ORD-10442"/>
    <x v="231"/>
    <s v="CUST-0015"/>
    <s v="Customer 15"/>
    <x v="1"/>
    <x v="19"/>
    <n v="4"/>
    <n v="6.26"/>
    <n v="22.54"/>
    <n v="0.1"/>
    <n v="9.61"/>
    <s v="South"/>
    <s v="Debit Card"/>
  </r>
  <r>
    <s v="ORD-10443"/>
    <x v="140"/>
    <s v="CUST-0043"/>
    <s v="Customer 43"/>
    <x v="0"/>
    <x v="7"/>
    <n v="7"/>
    <n v="1009.83"/>
    <n v="6008.49"/>
    <n v="0.15"/>
    <n v="1088.57"/>
    <s v="East"/>
    <s v="Cash"/>
  </r>
  <r>
    <s v="ORD-10444"/>
    <x v="249"/>
    <s v="CUST-0037"/>
    <s v="Customer 37"/>
    <x v="2"/>
    <x v="6"/>
    <n v="1"/>
    <n v="215.6"/>
    <n v="183.26"/>
    <n v="0.15"/>
    <n v="53.6"/>
    <s v="West"/>
    <s v="Cash"/>
  </r>
  <r>
    <s v="ORD-10445"/>
    <x v="128"/>
    <s v="CUST-0029"/>
    <s v="Customer 29"/>
    <x v="0"/>
    <x v="4"/>
    <n v="2"/>
    <n v="124.36"/>
    <n v="223.85"/>
    <n v="0.1"/>
    <n v="41.09"/>
    <s v="West"/>
    <s v="Mobile Banking"/>
  </r>
  <r>
    <s v="ORD-10446"/>
    <x v="148"/>
    <s v="CUST-0056"/>
    <s v="Customer 56"/>
    <x v="0"/>
    <x v="0"/>
    <n v="3"/>
    <n v="891.48"/>
    <n v="2674.44"/>
    <n v="0"/>
    <n v="497.23"/>
    <s v="East"/>
    <s v="Mobile Banking"/>
  </r>
  <r>
    <s v="ORD-10447"/>
    <x v="148"/>
    <s v="CUST-0095"/>
    <s v="Customer 95"/>
    <x v="0"/>
    <x v="9"/>
    <n v="7"/>
    <n v="752.32"/>
    <n v="4476.3"/>
    <n v="0.15"/>
    <n v="835.83"/>
    <s v="South"/>
    <s v="Cash"/>
  </r>
  <r>
    <s v="ORD-10448"/>
    <x v="214"/>
    <s v="CUST-0012"/>
    <s v="Customer 12"/>
    <x v="0"/>
    <x v="0"/>
    <n v="1"/>
    <n v="811.44"/>
    <n v="689.72"/>
    <n v="0.15"/>
    <n v="138.51"/>
    <s v="South"/>
    <s v="Mobile Banking"/>
  </r>
  <r>
    <s v="ORD-10449"/>
    <x v="35"/>
    <s v="CUST-0034"/>
    <s v="Customer 34"/>
    <x v="1"/>
    <x v="19"/>
    <n v="3"/>
    <n v="39.119999999999997"/>
    <n v="117.36"/>
    <n v="0"/>
    <n v="51.28"/>
    <s v="West"/>
    <s v="Bank Transfer"/>
  </r>
  <r>
    <s v="ORD-10450"/>
    <x v="50"/>
    <s v="CUST-0040"/>
    <s v="Customer 40"/>
    <x v="2"/>
    <x v="6"/>
    <n v="4"/>
    <n v="216.51"/>
    <n v="779.44"/>
    <n v="0.1"/>
    <n v="234"/>
    <s v="West"/>
    <s v="Bank Transfer"/>
  </r>
  <r>
    <s v="ORD-10451"/>
    <x v="247"/>
    <s v="CUST-0039"/>
    <s v="Customer 39"/>
    <x v="0"/>
    <x v="4"/>
    <n v="4"/>
    <n v="442.5"/>
    <n v="1593"/>
    <n v="0.1"/>
    <n v="331.54"/>
    <s v="North"/>
    <s v="Debit Card"/>
  </r>
  <r>
    <s v="ORD-10452"/>
    <x v="129"/>
    <s v="CUST-0088"/>
    <s v="Customer 88"/>
    <x v="3"/>
    <x v="17"/>
    <n v="7"/>
    <n v="54.67"/>
    <n v="382.69"/>
    <n v="0"/>
    <n v="139.72999999999999"/>
    <s v="East"/>
    <s v="Cash"/>
  </r>
  <r>
    <s v="ORD-10453"/>
    <x v="36"/>
    <s v="CUST-0102"/>
    <s v="Customer 102"/>
    <x v="1"/>
    <x v="16"/>
    <n v="2"/>
    <n v="41.92"/>
    <n v="83.84"/>
    <n v="0"/>
    <n v="35.32"/>
    <s v="West"/>
    <s v="Cash"/>
  </r>
  <r>
    <s v="ORD-10454"/>
    <x v="180"/>
    <s v="CUST-0119"/>
    <s v="Customer 119"/>
    <x v="2"/>
    <x v="12"/>
    <n v="7"/>
    <n v="235.33"/>
    <n v="1400.21"/>
    <n v="0.15"/>
    <n v="431.67"/>
    <s v="West"/>
    <s v="Debit Card"/>
  </r>
  <r>
    <s v="ORD-10455"/>
    <x v="4"/>
    <s v="CUST-0048"/>
    <s v="Customer 48"/>
    <x v="2"/>
    <x v="6"/>
    <n v="2"/>
    <n v="477.03"/>
    <n v="858.65"/>
    <n v="0.1"/>
    <n v="243.97"/>
    <s v="East"/>
    <s v="Bank Transfer"/>
  </r>
  <r>
    <s v="ORD-10456"/>
    <x v="250"/>
    <s v="CUST-0020"/>
    <s v="Customer 20"/>
    <x v="3"/>
    <x v="18"/>
    <n v="2"/>
    <n v="41.57"/>
    <n v="78.98"/>
    <n v="0.05"/>
    <n v="29.04"/>
    <s v="East"/>
    <s v="Cash"/>
  </r>
  <r>
    <s v="ORD-10457"/>
    <x v="251"/>
    <s v="CUST-0099"/>
    <s v="Customer 99"/>
    <x v="2"/>
    <x v="14"/>
    <n v="2"/>
    <n v="112.57"/>
    <n v="202.63"/>
    <n v="0.1"/>
    <n v="60.29"/>
    <s v="West"/>
    <s v="Bank Transfer"/>
  </r>
  <r>
    <s v="ORD-10458"/>
    <x v="252"/>
    <s v="CUST-0006"/>
    <s v="Customer 6"/>
    <x v="3"/>
    <x v="18"/>
    <n v="3"/>
    <n v="134.63"/>
    <n v="383.7"/>
    <n v="0.05"/>
    <n v="139.63"/>
    <s v="South"/>
    <s v="Cash"/>
  </r>
  <r>
    <s v="ORD-10459"/>
    <x v="195"/>
    <s v="CUST-0032"/>
    <s v="Customer 32"/>
    <x v="3"/>
    <x v="18"/>
    <n v="3"/>
    <n v="32.29"/>
    <n v="87.18"/>
    <n v="0.1"/>
    <n v="33.520000000000003"/>
    <s v="South"/>
    <s v="Mobile Banking"/>
  </r>
  <r>
    <s v="ORD-10460"/>
    <x v="161"/>
    <s v="CUST-0098"/>
    <s v="Customer 98"/>
    <x v="0"/>
    <x v="0"/>
    <n v="6"/>
    <n v="734.52"/>
    <n v="3966.41"/>
    <n v="0.1"/>
    <n v="766.46"/>
    <s v="South"/>
    <s v="Credit Card"/>
  </r>
  <r>
    <s v="ORD-10461"/>
    <x v="253"/>
    <s v="CUST-0059"/>
    <s v="Customer 59"/>
    <x v="1"/>
    <x v="1"/>
    <n v="4"/>
    <n v="45.87"/>
    <n v="155.96"/>
    <n v="0.15"/>
    <n v="64.900000000000006"/>
    <s v="South"/>
    <s v="Cash"/>
  </r>
  <r>
    <s v="ORD-10462"/>
    <x v="254"/>
    <s v="CUST-0085"/>
    <s v="Customer 85"/>
    <x v="1"/>
    <x v="13"/>
    <n v="2"/>
    <n v="43.19"/>
    <n v="77.739999999999995"/>
    <n v="0.1"/>
    <n v="32.450000000000003"/>
    <s v="North"/>
    <s v="Debit Card"/>
  </r>
  <r>
    <s v="ORD-10463"/>
    <x v="210"/>
    <s v="CUST-0081"/>
    <s v="Customer 81"/>
    <x v="1"/>
    <x v="19"/>
    <n v="6"/>
    <n v="23.43"/>
    <n v="126.52"/>
    <n v="0.1"/>
    <n v="54.91"/>
    <s v="West"/>
    <s v="Debit Card"/>
  </r>
  <r>
    <s v="ORD-10464"/>
    <x v="71"/>
    <s v="CUST-0023"/>
    <s v="Customer 23"/>
    <x v="0"/>
    <x v="3"/>
    <n v="6"/>
    <n v="741.68"/>
    <n v="3782.57"/>
    <n v="0.15"/>
    <n v="705.17"/>
    <s v="North"/>
    <s v="Bank Transfer"/>
  </r>
  <r>
    <s v="ORD-10465"/>
    <x v="230"/>
    <s v="CUST-0016"/>
    <s v="Customer 16"/>
    <x v="2"/>
    <x v="12"/>
    <n v="7"/>
    <n v="356.47"/>
    <n v="2370.5300000000002"/>
    <n v="0.05"/>
    <n v="692.41"/>
    <s v="East"/>
    <s v="Bank Transfer"/>
  </r>
  <r>
    <s v="ORD-10466"/>
    <x v="255"/>
    <s v="CUST-0094"/>
    <s v="Customer 94"/>
    <x v="1"/>
    <x v="16"/>
    <n v="2"/>
    <n v="16.14"/>
    <n v="32.28"/>
    <n v="0"/>
    <n v="14.01"/>
    <s v="East"/>
    <s v="Credit Card"/>
  </r>
  <r>
    <s v="ORD-10467"/>
    <x v="32"/>
    <s v="CUST-0073"/>
    <s v="Customer 73"/>
    <x v="2"/>
    <x v="5"/>
    <n v="4"/>
    <n v="371.6"/>
    <n v="1412.08"/>
    <n v="0.05"/>
    <n v="435.62"/>
    <s v="West"/>
    <s v="Credit Card"/>
  </r>
  <r>
    <s v="ORD-10468"/>
    <x v="89"/>
    <s v="CUST-0111"/>
    <s v="Customer 111"/>
    <x v="3"/>
    <x v="18"/>
    <n v="1"/>
    <n v="144.91"/>
    <n v="130.41999999999999"/>
    <n v="0.1"/>
    <n v="50.02"/>
    <s v="West"/>
    <s v="Cash"/>
  </r>
  <r>
    <s v="ORD-10469"/>
    <x v="151"/>
    <s v="CUST-0027"/>
    <s v="Customer 27"/>
    <x v="1"/>
    <x v="13"/>
    <n v="6"/>
    <n v="56.56"/>
    <n v="305.42"/>
    <n v="0.1"/>
    <n v="132.55000000000001"/>
    <s v="East"/>
    <s v="Mobile Banking"/>
  </r>
  <r>
    <s v="ORD-10470"/>
    <x v="256"/>
    <s v="CUST-0085"/>
    <s v="Customer 85"/>
    <x v="2"/>
    <x v="12"/>
    <n v="5"/>
    <n v="589.49"/>
    <n v="2505.33"/>
    <n v="0.15"/>
    <n v="749.15"/>
    <s v="South"/>
    <s v="Bank Transfer"/>
  </r>
  <r>
    <s v="ORD-10471"/>
    <x v="257"/>
    <s v="CUST-0072"/>
    <s v="Customer 72"/>
    <x v="1"/>
    <x v="1"/>
    <n v="1"/>
    <n v="24.78"/>
    <n v="23.54"/>
    <n v="0.05"/>
    <n v="10.15"/>
    <s v="North"/>
    <s v="Mobile Banking"/>
  </r>
  <r>
    <s v="ORD-10472"/>
    <x v="111"/>
    <s v="CUST-0028"/>
    <s v="Customer 28"/>
    <x v="0"/>
    <x v="3"/>
    <n v="3"/>
    <n v="743.47"/>
    <n v="2007.37"/>
    <n v="0.1"/>
    <n v="402.42"/>
    <s v="South"/>
    <s v="Bank Transfer"/>
  </r>
  <r>
    <s v="ORD-10473"/>
    <x v="258"/>
    <s v="CUST-0090"/>
    <s v="Customer 90"/>
    <x v="3"/>
    <x v="8"/>
    <n v="1"/>
    <n v="56.44"/>
    <n v="45.15"/>
    <n v="0.2"/>
    <n v="17.59"/>
    <s v="West"/>
    <s v="Credit Card"/>
  </r>
  <r>
    <s v="ORD-10474"/>
    <x v="259"/>
    <s v="CUST-0058"/>
    <s v="Customer 58"/>
    <x v="1"/>
    <x v="19"/>
    <n v="4"/>
    <n v="29.18"/>
    <n v="116.72"/>
    <n v="0"/>
    <n v="49.81"/>
    <s v="North"/>
    <s v="Debit Card"/>
  </r>
  <r>
    <s v="ORD-10475"/>
    <x v="7"/>
    <s v="CUST-0114"/>
    <s v="Customer 114"/>
    <x v="0"/>
    <x v="7"/>
    <n v="4"/>
    <n v="258.23"/>
    <n v="1032.92"/>
    <n v="0"/>
    <n v="209.48"/>
    <s v="West"/>
    <s v="Cash"/>
  </r>
  <r>
    <s v="ORD-10476"/>
    <x v="106"/>
    <s v="CUST-0034"/>
    <s v="Customer 34"/>
    <x v="0"/>
    <x v="0"/>
    <n v="3"/>
    <n v="314.82"/>
    <n v="897.24"/>
    <n v="0.05"/>
    <n v="170.6"/>
    <s v="South"/>
    <s v="Cash"/>
  </r>
  <r>
    <s v="ORD-10477"/>
    <x v="133"/>
    <s v="CUST-0067"/>
    <s v="Customer 67"/>
    <x v="1"/>
    <x v="2"/>
    <n v="5"/>
    <n v="11.84"/>
    <n v="50.32"/>
    <n v="0.15"/>
    <n v="20.96"/>
    <s v="East"/>
    <s v="Cash"/>
  </r>
  <r>
    <s v="ORD-10478"/>
    <x v="222"/>
    <s v="CUST-0047"/>
    <s v="Customer 47"/>
    <x v="3"/>
    <x v="8"/>
    <n v="2"/>
    <n v="155.25"/>
    <n v="294.97000000000003"/>
    <n v="0.05"/>
    <n v="108.34"/>
    <s v="West"/>
    <s v="Credit Card"/>
  </r>
  <r>
    <s v="ORD-10479"/>
    <x v="120"/>
    <s v="CUST-0003"/>
    <s v="Customer 3"/>
    <x v="2"/>
    <x v="10"/>
    <n v="2"/>
    <n v="434.54"/>
    <n v="738.72"/>
    <n v="0.15"/>
    <n v="210.78"/>
    <s v="North"/>
    <s v="Bank Transfer"/>
  </r>
  <r>
    <s v="ORD-10480"/>
    <x v="32"/>
    <s v="CUST-0110"/>
    <s v="Customer 110"/>
    <x v="2"/>
    <x v="6"/>
    <n v="4"/>
    <n v="521.70000000000005"/>
    <n v="1878.12"/>
    <n v="0.1"/>
    <n v="549.33000000000004"/>
    <s v="South"/>
    <s v="Bank Transfer"/>
  </r>
  <r>
    <s v="ORD-10481"/>
    <x v="98"/>
    <s v="CUST-0108"/>
    <s v="Customer 108"/>
    <x v="0"/>
    <x v="3"/>
    <n v="7"/>
    <n v="42.83"/>
    <n v="269.83"/>
    <n v="0.1"/>
    <n v="55.81"/>
    <s v="East"/>
    <s v="Mobile Banking"/>
  </r>
  <r>
    <s v="ORD-10482"/>
    <x v="137"/>
    <s v="CUST-0052"/>
    <s v="Customer 52"/>
    <x v="2"/>
    <x v="10"/>
    <n v="1"/>
    <n v="85.43"/>
    <n v="85.43"/>
    <n v="0"/>
    <n v="24.48"/>
    <s v="South"/>
    <s v="Bank Transfer"/>
  </r>
  <r>
    <s v="ORD-10483"/>
    <x v="117"/>
    <s v="CUST-0059"/>
    <s v="Customer 59"/>
    <x v="0"/>
    <x v="0"/>
    <n v="5"/>
    <n v="712.47"/>
    <n v="3562.35"/>
    <n v="0"/>
    <n v="652.37"/>
    <s v="South"/>
    <s v="Credit Card"/>
  </r>
  <r>
    <s v="ORD-10484"/>
    <x v="199"/>
    <s v="CUST-0011"/>
    <s v="Customer 11"/>
    <x v="1"/>
    <x v="1"/>
    <n v="4"/>
    <n v="20.18"/>
    <n v="68.61"/>
    <n v="0.15"/>
    <n v="28.56"/>
    <s v="West"/>
    <s v="Bank Transfer"/>
  </r>
  <r>
    <s v="ORD-10485"/>
    <x v="74"/>
    <s v="CUST-0073"/>
    <s v="Customer 73"/>
    <x v="0"/>
    <x v="4"/>
    <n v="7"/>
    <n v="1164.43"/>
    <n v="7743.46"/>
    <n v="0.05"/>
    <n v="1545.4"/>
    <s v="East"/>
    <s v="Cash"/>
  </r>
  <r>
    <s v="ORD-10486"/>
    <x v="168"/>
    <s v="CUST-0040"/>
    <s v="Customer 40"/>
    <x v="0"/>
    <x v="7"/>
    <n v="5"/>
    <n v="746.42"/>
    <n v="3732.1"/>
    <n v="0"/>
    <n v="719.07"/>
    <s v="South"/>
    <s v="Debit Card"/>
  </r>
  <r>
    <s v="ORD-10487"/>
    <x v="2"/>
    <s v="CUST-0038"/>
    <s v="Customer 38"/>
    <x v="3"/>
    <x v="18"/>
    <n v="3"/>
    <n v="68.34"/>
    <n v="194.77"/>
    <n v="0.05"/>
    <n v="71.25"/>
    <s v="North"/>
    <s v="Debit Card"/>
  </r>
  <r>
    <s v="ORD-10488"/>
    <x v="81"/>
    <s v="CUST-0045"/>
    <s v="Customer 45"/>
    <x v="0"/>
    <x v="7"/>
    <n v="6"/>
    <n v="689.68"/>
    <n v="4138.08"/>
    <n v="0"/>
    <n v="851.67"/>
    <s v="East"/>
    <s v="Bank Transfer"/>
  </r>
  <r>
    <s v="ORD-10489"/>
    <x v="174"/>
    <s v="CUST-0120"/>
    <s v="Customer 120"/>
    <x v="2"/>
    <x v="12"/>
    <n v="3"/>
    <n v="41.23"/>
    <n v="111.32"/>
    <n v="0.1"/>
    <n v="34.25"/>
    <s v="East"/>
    <s v="Credit Card"/>
  </r>
  <r>
    <s v="ORD-10490"/>
    <x v="169"/>
    <s v="CUST-0006"/>
    <s v="Customer 6"/>
    <x v="1"/>
    <x v="16"/>
    <n v="6"/>
    <n v="53.37"/>
    <n v="288.2"/>
    <n v="0.1"/>
    <n v="123.94"/>
    <s v="North"/>
    <s v="Bank Transfer"/>
  </r>
  <r>
    <s v="ORD-10491"/>
    <x v="260"/>
    <s v="CUST-0063"/>
    <s v="Customer 63"/>
    <x v="0"/>
    <x v="4"/>
    <n v="3"/>
    <n v="76.75"/>
    <n v="207.22"/>
    <n v="0.1"/>
    <n v="39.49"/>
    <s v="West"/>
    <s v="Cash"/>
  </r>
  <r>
    <s v="ORD-10492"/>
    <x v="107"/>
    <s v="CUST-0104"/>
    <s v="Customer 104"/>
    <x v="1"/>
    <x v="2"/>
    <n v="5"/>
    <n v="36.74"/>
    <n v="156.13999999999999"/>
    <n v="0.15"/>
    <n v="64.19"/>
    <s v="East"/>
    <s v="Cash"/>
  </r>
  <r>
    <s v="ORD-10493"/>
    <x v="261"/>
    <s v="CUST-0014"/>
    <s v="Customer 14"/>
    <x v="2"/>
    <x v="10"/>
    <n v="5"/>
    <n v="76.97"/>
    <n v="365.61"/>
    <n v="0.05"/>
    <n v="111.35"/>
    <s v="East"/>
    <s v="Cash"/>
  </r>
  <r>
    <s v="ORD-10494"/>
    <x v="20"/>
    <s v="CUST-0028"/>
    <s v="Customer 28"/>
    <x v="3"/>
    <x v="8"/>
    <n v="5"/>
    <n v="130.13999999999999"/>
    <n v="650.70000000000005"/>
    <n v="0"/>
    <n v="247.57"/>
    <s v="East"/>
    <s v="Mobile Banking"/>
  </r>
  <r>
    <s v="ORD-10495"/>
    <x v="5"/>
    <s v="CUST-0071"/>
    <s v="Customer 71"/>
    <x v="0"/>
    <x v="0"/>
    <n v="4"/>
    <n v="1101.79"/>
    <n v="3966.44"/>
    <n v="0.1"/>
    <n v="758.01"/>
    <s v="East"/>
    <s v="Debit Card"/>
  </r>
  <r>
    <s v="ORD-10496"/>
    <x v="182"/>
    <s v="CUST-0117"/>
    <s v="Customer 117"/>
    <x v="0"/>
    <x v="9"/>
    <n v="5"/>
    <n v="492.92"/>
    <n v="2341.37"/>
    <n v="0.05"/>
    <n v="428.92"/>
    <s v="East"/>
    <s v="Bank Transfer"/>
  </r>
  <r>
    <s v="ORD-10497"/>
    <x v="110"/>
    <s v="CUST-0004"/>
    <s v="Customer 4"/>
    <x v="0"/>
    <x v="9"/>
    <n v="5"/>
    <n v="1100.2"/>
    <n v="5501"/>
    <n v="0"/>
    <n v="1015.89"/>
    <s v="West"/>
    <s v="Debit Card"/>
  </r>
  <r>
    <s v="ORD-10498"/>
    <x v="197"/>
    <s v="CUST-0084"/>
    <s v="Customer 84"/>
    <x v="2"/>
    <x v="6"/>
    <n v="6"/>
    <n v="247.89"/>
    <n v="1487.34"/>
    <n v="0"/>
    <n v="448.94"/>
    <s v="East"/>
    <s v="Mobile Banking"/>
  </r>
  <r>
    <s v="ORD-10499"/>
    <x v="67"/>
    <s v="CUST-0041"/>
    <s v="Customer 41"/>
    <x v="3"/>
    <x v="8"/>
    <n v="3"/>
    <n v="67.48"/>
    <n v="182.2"/>
    <n v="0.1"/>
    <n v="66.66"/>
    <s v="South"/>
    <s v="Credit Card"/>
  </r>
  <r>
    <s v="ORD-10500"/>
    <x v="262"/>
    <s v="CUST-0106"/>
    <s v="Customer 106"/>
    <x v="2"/>
    <x v="14"/>
    <n v="3"/>
    <n v="698.41"/>
    <n v="2095.23"/>
    <n v="0"/>
    <n v="620.63"/>
    <s v="South"/>
    <s v="Credit Card"/>
  </r>
  <r>
    <s v="ORD-10501"/>
    <x v="223"/>
    <s v="CUST-0074"/>
    <s v="Customer 74"/>
    <x v="0"/>
    <x v="7"/>
    <n v="3"/>
    <n v="1067.3699999999999"/>
    <n v="3042"/>
    <n v="0.05"/>
    <n v="593.47"/>
    <s v="East"/>
    <s v="Cred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EC757-D592-4754-A519-72FA4B1758D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>
  <location ref="A3:B8" firstHeaderRow="1" firstDataRow="1" firstDataCol="1"/>
  <pivotFields count="15">
    <pivotField showAll="0"/>
    <pivotField numFmtId="14" showAll="0">
      <items count="264">
        <item x="58"/>
        <item x="22"/>
        <item x="132"/>
        <item x="27"/>
        <item x="201"/>
        <item x="128"/>
        <item x="115"/>
        <item x="77"/>
        <item x="212"/>
        <item x="156"/>
        <item x="8"/>
        <item x="101"/>
        <item x="136"/>
        <item x="260"/>
        <item x="169"/>
        <item x="146"/>
        <item x="2"/>
        <item x="82"/>
        <item x="225"/>
        <item x="106"/>
        <item x="26"/>
        <item x="165"/>
        <item x="100"/>
        <item x="199"/>
        <item x="73"/>
        <item x="229"/>
        <item x="124"/>
        <item x="191"/>
        <item x="149"/>
        <item x="207"/>
        <item x="83"/>
        <item x="250"/>
        <item x="232"/>
        <item x="107"/>
        <item x="102"/>
        <item x="187"/>
        <item x="200"/>
        <item x="93"/>
        <item x="173"/>
        <item x="88"/>
        <item x="12"/>
        <item x="46"/>
        <item x="205"/>
        <item x="170"/>
        <item x="117"/>
        <item x="35"/>
        <item x="140"/>
        <item x="158"/>
        <item x="179"/>
        <item x="183"/>
        <item x="180"/>
        <item x="135"/>
        <item x="24"/>
        <item x="151"/>
        <item x="122"/>
        <item x="192"/>
        <item x="81"/>
        <item x="109"/>
        <item x="259"/>
        <item x="126"/>
        <item x="108"/>
        <item x="96"/>
        <item x="4"/>
        <item x="218"/>
        <item x="188"/>
        <item x="34"/>
        <item x="221"/>
        <item x="74"/>
        <item x="85"/>
        <item x="56"/>
        <item x="10"/>
        <item x="175"/>
        <item x="72"/>
        <item x="143"/>
        <item x="153"/>
        <item x="114"/>
        <item x="110"/>
        <item x="71"/>
        <item x="63"/>
        <item x="98"/>
        <item x="121"/>
        <item x="142"/>
        <item x="42"/>
        <item x="203"/>
        <item x="150"/>
        <item x="214"/>
        <item x="163"/>
        <item x="15"/>
        <item x="167"/>
        <item x="160"/>
        <item x="181"/>
        <item x="50"/>
        <item x="30"/>
        <item x="261"/>
        <item x="17"/>
        <item x="75"/>
        <item x="244"/>
        <item x="90"/>
        <item x="247"/>
        <item x="76"/>
        <item x="32"/>
        <item x="208"/>
        <item x="178"/>
        <item x="1"/>
        <item x="21"/>
        <item x="23"/>
        <item x="112"/>
        <item x="202"/>
        <item x="193"/>
        <item x="120"/>
        <item x="18"/>
        <item x="29"/>
        <item x="215"/>
        <item x="238"/>
        <item x="97"/>
        <item x="129"/>
        <item x="228"/>
        <item x="48"/>
        <item x="65"/>
        <item x="16"/>
        <item x="171"/>
        <item x="125"/>
        <item x="25"/>
        <item x="243"/>
        <item x="92"/>
        <item x="89"/>
        <item x="204"/>
        <item x="119"/>
        <item x="230"/>
        <item x="186"/>
        <item x="6"/>
        <item x="36"/>
        <item x="231"/>
        <item x="194"/>
        <item x="99"/>
        <item x="155"/>
        <item x="182"/>
        <item x="172"/>
        <item x="105"/>
        <item x="197"/>
        <item x="138"/>
        <item x="210"/>
        <item x="45"/>
        <item x="134"/>
        <item x="7"/>
        <item x="239"/>
        <item x="91"/>
        <item x="133"/>
        <item x="55"/>
        <item x="176"/>
        <item x="258"/>
        <item x="196"/>
        <item x="220"/>
        <item x="166"/>
        <item x="256"/>
        <item x="206"/>
        <item x="39"/>
        <item x="53"/>
        <item x="61"/>
        <item x="252"/>
        <item x="70"/>
        <item x="162"/>
        <item x="28"/>
        <item x="47"/>
        <item x="79"/>
        <item x="154"/>
        <item x="255"/>
        <item x="148"/>
        <item x="19"/>
        <item x="217"/>
        <item x="123"/>
        <item x="13"/>
        <item x="174"/>
        <item x="161"/>
        <item x="237"/>
        <item x="43"/>
        <item x="59"/>
        <item x="262"/>
        <item x="241"/>
        <item x="41"/>
        <item x="84"/>
        <item x="11"/>
        <item x="253"/>
        <item x="236"/>
        <item x="198"/>
        <item x="242"/>
        <item x="159"/>
        <item x="5"/>
        <item x="185"/>
        <item x="234"/>
        <item x="103"/>
        <item x="40"/>
        <item x="246"/>
        <item x="0"/>
        <item x="78"/>
        <item x="69"/>
        <item x="189"/>
        <item x="147"/>
        <item x="168"/>
        <item x="223"/>
        <item x="152"/>
        <item x="127"/>
        <item x="222"/>
        <item x="37"/>
        <item x="94"/>
        <item x="254"/>
        <item x="157"/>
        <item x="9"/>
        <item x="209"/>
        <item x="227"/>
        <item x="113"/>
        <item x="141"/>
        <item x="66"/>
        <item x="86"/>
        <item x="51"/>
        <item x="145"/>
        <item x="52"/>
        <item x="190"/>
        <item x="235"/>
        <item x="257"/>
        <item x="33"/>
        <item x="104"/>
        <item x="60"/>
        <item x="54"/>
        <item x="130"/>
        <item x="233"/>
        <item x="95"/>
        <item x="80"/>
        <item x="49"/>
        <item x="249"/>
        <item x="116"/>
        <item x="224"/>
        <item x="184"/>
        <item x="213"/>
        <item x="251"/>
        <item x="216"/>
        <item x="195"/>
        <item x="139"/>
        <item x="62"/>
        <item x="177"/>
        <item x="67"/>
        <item x="240"/>
        <item x="245"/>
        <item x="14"/>
        <item x="38"/>
        <item x="44"/>
        <item x="164"/>
        <item x="144"/>
        <item x="137"/>
        <item x="20"/>
        <item x="248"/>
        <item x="131"/>
        <item x="226"/>
        <item x="64"/>
        <item x="118"/>
        <item x="31"/>
        <item x="87"/>
        <item x="57"/>
        <item x="111"/>
        <item x="211"/>
        <item x="219"/>
        <item x="3"/>
        <item x="68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1B118-D857-4EA9-8845-FAD621A77B9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5028E-61F4-4B22-AD8C-682E078BF55D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ayment_Method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3CB34-9F1E-47A3-9288-9D9A3D4CB258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Month">
  <location ref="A3:C17" firstHeaderRow="0" firstDataRow="1" firstDataCol="1"/>
  <pivotFields count="15">
    <pivotField showAll="0"/>
    <pivotField numFmtId="14" showAll="0">
      <items count="264">
        <item x="58"/>
        <item x="22"/>
        <item x="132"/>
        <item x="27"/>
        <item x="201"/>
        <item x="128"/>
        <item x="115"/>
        <item x="77"/>
        <item x="212"/>
        <item x="156"/>
        <item x="8"/>
        <item x="101"/>
        <item x="136"/>
        <item x="260"/>
        <item x="169"/>
        <item x="146"/>
        <item x="2"/>
        <item x="82"/>
        <item x="225"/>
        <item x="106"/>
        <item x="26"/>
        <item x="165"/>
        <item x="100"/>
        <item x="199"/>
        <item x="73"/>
        <item x="229"/>
        <item x="124"/>
        <item x="191"/>
        <item x="149"/>
        <item x="207"/>
        <item x="83"/>
        <item x="250"/>
        <item x="232"/>
        <item x="107"/>
        <item x="102"/>
        <item x="187"/>
        <item x="200"/>
        <item x="93"/>
        <item x="173"/>
        <item x="88"/>
        <item x="12"/>
        <item x="46"/>
        <item x="205"/>
        <item x="170"/>
        <item x="117"/>
        <item x="35"/>
        <item x="140"/>
        <item x="158"/>
        <item x="179"/>
        <item x="183"/>
        <item x="180"/>
        <item x="135"/>
        <item x="24"/>
        <item x="151"/>
        <item x="122"/>
        <item x="192"/>
        <item x="81"/>
        <item x="109"/>
        <item x="259"/>
        <item x="126"/>
        <item x="108"/>
        <item x="96"/>
        <item x="4"/>
        <item x="218"/>
        <item x="188"/>
        <item x="34"/>
        <item x="221"/>
        <item x="74"/>
        <item x="85"/>
        <item x="56"/>
        <item x="10"/>
        <item x="175"/>
        <item x="72"/>
        <item x="143"/>
        <item x="153"/>
        <item x="114"/>
        <item x="110"/>
        <item x="71"/>
        <item x="63"/>
        <item x="98"/>
        <item x="121"/>
        <item x="142"/>
        <item x="42"/>
        <item x="203"/>
        <item x="150"/>
        <item x="214"/>
        <item x="163"/>
        <item x="15"/>
        <item x="167"/>
        <item x="160"/>
        <item x="181"/>
        <item x="50"/>
        <item x="30"/>
        <item x="261"/>
        <item x="17"/>
        <item x="75"/>
        <item x="244"/>
        <item x="90"/>
        <item x="247"/>
        <item x="76"/>
        <item x="32"/>
        <item x="208"/>
        <item x="178"/>
        <item x="1"/>
        <item x="21"/>
        <item x="23"/>
        <item x="112"/>
        <item x="202"/>
        <item x="193"/>
        <item x="120"/>
        <item x="18"/>
        <item x="29"/>
        <item x="215"/>
        <item x="238"/>
        <item x="97"/>
        <item x="129"/>
        <item x="228"/>
        <item x="48"/>
        <item x="65"/>
        <item x="16"/>
        <item x="171"/>
        <item x="125"/>
        <item x="25"/>
        <item x="243"/>
        <item x="92"/>
        <item x="89"/>
        <item x="204"/>
        <item x="119"/>
        <item x="230"/>
        <item x="186"/>
        <item x="6"/>
        <item x="36"/>
        <item x="231"/>
        <item x="194"/>
        <item x="99"/>
        <item x="155"/>
        <item x="182"/>
        <item x="172"/>
        <item x="105"/>
        <item x="197"/>
        <item x="138"/>
        <item x="210"/>
        <item x="45"/>
        <item x="134"/>
        <item x="7"/>
        <item x="239"/>
        <item x="91"/>
        <item x="133"/>
        <item x="55"/>
        <item x="176"/>
        <item x="258"/>
        <item x="196"/>
        <item x="220"/>
        <item x="166"/>
        <item x="256"/>
        <item x="206"/>
        <item x="39"/>
        <item x="53"/>
        <item x="61"/>
        <item x="252"/>
        <item x="70"/>
        <item x="162"/>
        <item x="28"/>
        <item x="47"/>
        <item x="79"/>
        <item x="154"/>
        <item x="255"/>
        <item x="148"/>
        <item x="19"/>
        <item x="217"/>
        <item x="123"/>
        <item x="13"/>
        <item x="174"/>
        <item x="161"/>
        <item x="237"/>
        <item x="43"/>
        <item x="59"/>
        <item x="262"/>
        <item x="241"/>
        <item x="41"/>
        <item x="84"/>
        <item x="11"/>
        <item x="253"/>
        <item x="236"/>
        <item x="198"/>
        <item x="242"/>
        <item x="159"/>
        <item x="5"/>
        <item x="185"/>
        <item x="234"/>
        <item x="103"/>
        <item x="40"/>
        <item x="246"/>
        <item x="0"/>
        <item x="78"/>
        <item x="69"/>
        <item x="189"/>
        <item x="147"/>
        <item x="168"/>
        <item x="223"/>
        <item x="152"/>
        <item x="127"/>
        <item x="222"/>
        <item x="37"/>
        <item x="94"/>
        <item x="254"/>
        <item x="157"/>
        <item x="9"/>
        <item x="209"/>
        <item x="227"/>
        <item x="113"/>
        <item x="141"/>
        <item x="66"/>
        <item x="86"/>
        <item x="51"/>
        <item x="145"/>
        <item x="52"/>
        <item x="190"/>
        <item x="235"/>
        <item x="257"/>
        <item x="33"/>
        <item x="104"/>
        <item x="60"/>
        <item x="54"/>
        <item x="130"/>
        <item x="233"/>
        <item x="95"/>
        <item x="80"/>
        <item x="49"/>
        <item x="249"/>
        <item x="116"/>
        <item x="224"/>
        <item x="184"/>
        <item x="213"/>
        <item x="251"/>
        <item x="216"/>
        <item x="195"/>
        <item x="139"/>
        <item x="62"/>
        <item x="177"/>
        <item x="67"/>
        <item x="240"/>
        <item x="245"/>
        <item x="14"/>
        <item x="38"/>
        <item x="44"/>
        <item x="164"/>
        <item x="144"/>
        <item x="137"/>
        <item x="20"/>
        <item x="248"/>
        <item x="131"/>
        <item x="226"/>
        <item x="64"/>
        <item x="118"/>
        <item x="31"/>
        <item x="87"/>
        <item x="57"/>
        <item x="111"/>
        <item x="211"/>
        <item x="219"/>
        <item x="3"/>
        <item x="6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4"/>
    <field x="13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0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4295C-75EC-4743-998A-87F2234E55FC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:B24" firstHeaderRow="1" firstDataRow="1" firstDataCol="1"/>
  <pivotFields count="15">
    <pivotField showAll="0"/>
    <pivotField numFmtId="14" showAll="0">
      <items count="264">
        <item x="58"/>
        <item x="22"/>
        <item x="132"/>
        <item x="27"/>
        <item x="201"/>
        <item x="128"/>
        <item x="115"/>
        <item x="77"/>
        <item x="212"/>
        <item x="156"/>
        <item x="8"/>
        <item x="101"/>
        <item x="136"/>
        <item x="260"/>
        <item x="169"/>
        <item x="146"/>
        <item x="2"/>
        <item x="82"/>
        <item x="225"/>
        <item x="106"/>
        <item x="26"/>
        <item x="165"/>
        <item x="100"/>
        <item x="199"/>
        <item x="73"/>
        <item x="229"/>
        <item x="124"/>
        <item x="191"/>
        <item x="149"/>
        <item x="207"/>
        <item x="83"/>
        <item x="250"/>
        <item x="232"/>
        <item x="107"/>
        <item x="102"/>
        <item x="187"/>
        <item x="200"/>
        <item x="93"/>
        <item x="173"/>
        <item x="88"/>
        <item x="12"/>
        <item x="46"/>
        <item x="205"/>
        <item x="170"/>
        <item x="117"/>
        <item x="35"/>
        <item x="140"/>
        <item x="158"/>
        <item x="179"/>
        <item x="183"/>
        <item x="180"/>
        <item x="135"/>
        <item x="24"/>
        <item x="151"/>
        <item x="122"/>
        <item x="192"/>
        <item x="81"/>
        <item x="109"/>
        <item x="259"/>
        <item x="126"/>
        <item x="108"/>
        <item x="96"/>
        <item x="4"/>
        <item x="218"/>
        <item x="188"/>
        <item x="34"/>
        <item x="221"/>
        <item x="74"/>
        <item x="85"/>
        <item x="56"/>
        <item x="10"/>
        <item x="175"/>
        <item x="72"/>
        <item x="143"/>
        <item x="153"/>
        <item x="114"/>
        <item x="110"/>
        <item x="71"/>
        <item x="63"/>
        <item x="98"/>
        <item x="121"/>
        <item x="142"/>
        <item x="42"/>
        <item x="203"/>
        <item x="150"/>
        <item x="214"/>
        <item x="163"/>
        <item x="15"/>
        <item x="167"/>
        <item x="160"/>
        <item x="181"/>
        <item x="50"/>
        <item x="30"/>
        <item x="261"/>
        <item x="17"/>
        <item x="75"/>
        <item x="244"/>
        <item x="90"/>
        <item x="247"/>
        <item x="76"/>
        <item x="32"/>
        <item x="208"/>
        <item x="178"/>
        <item x="1"/>
        <item x="21"/>
        <item x="23"/>
        <item x="112"/>
        <item x="202"/>
        <item x="193"/>
        <item x="120"/>
        <item x="18"/>
        <item x="29"/>
        <item x="215"/>
        <item x="238"/>
        <item x="97"/>
        <item x="129"/>
        <item x="228"/>
        <item x="48"/>
        <item x="65"/>
        <item x="16"/>
        <item x="171"/>
        <item x="125"/>
        <item x="25"/>
        <item x="243"/>
        <item x="92"/>
        <item x="89"/>
        <item x="204"/>
        <item x="119"/>
        <item x="230"/>
        <item x="186"/>
        <item x="6"/>
        <item x="36"/>
        <item x="231"/>
        <item x="194"/>
        <item x="99"/>
        <item x="155"/>
        <item x="182"/>
        <item x="172"/>
        <item x="105"/>
        <item x="197"/>
        <item x="138"/>
        <item x="210"/>
        <item x="45"/>
        <item x="134"/>
        <item x="7"/>
        <item x="239"/>
        <item x="91"/>
        <item x="133"/>
        <item x="55"/>
        <item x="176"/>
        <item x="258"/>
        <item x="196"/>
        <item x="220"/>
        <item x="166"/>
        <item x="256"/>
        <item x="206"/>
        <item x="39"/>
        <item x="53"/>
        <item x="61"/>
        <item x="252"/>
        <item x="70"/>
        <item x="162"/>
        <item x="28"/>
        <item x="47"/>
        <item x="79"/>
        <item x="154"/>
        <item x="255"/>
        <item x="148"/>
        <item x="19"/>
        <item x="217"/>
        <item x="123"/>
        <item x="13"/>
        <item x="174"/>
        <item x="161"/>
        <item x="237"/>
        <item x="43"/>
        <item x="59"/>
        <item x="262"/>
        <item x="241"/>
        <item x="41"/>
        <item x="84"/>
        <item x="11"/>
        <item x="253"/>
        <item x="236"/>
        <item x="198"/>
        <item x="242"/>
        <item x="159"/>
        <item x="5"/>
        <item x="185"/>
        <item x="234"/>
        <item x="103"/>
        <item x="40"/>
        <item x="246"/>
        <item x="0"/>
        <item x="78"/>
        <item x="69"/>
        <item x="189"/>
        <item x="147"/>
        <item x="168"/>
        <item x="223"/>
        <item x="152"/>
        <item x="127"/>
        <item x="222"/>
        <item x="37"/>
        <item x="94"/>
        <item x="254"/>
        <item x="157"/>
        <item x="9"/>
        <item x="209"/>
        <item x="227"/>
        <item x="113"/>
        <item x="141"/>
        <item x="66"/>
        <item x="86"/>
        <item x="51"/>
        <item x="145"/>
        <item x="52"/>
        <item x="190"/>
        <item x="235"/>
        <item x="257"/>
        <item x="33"/>
        <item x="104"/>
        <item x="60"/>
        <item x="54"/>
        <item x="130"/>
        <item x="233"/>
        <item x="95"/>
        <item x="80"/>
        <item x="49"/>
        <item x="249"/>
        <item x="116"/>
        <item x="224"/>
        <item x="184"/>
        <item x="213"/>
        <item x="251"/>
        <item x="216"/>
        <item x="195"/>
        <item x="139"/>
        <item x="62"/>
        <item x="177"/>
        <item x="67"/>
        <item x="240"/>
        <item x="245"/>
        <item x="14"/>
        <item x="38"/>
        <item x="44"/>
        <item x="164"/>
        <item x="144"/>
        <item x="137"/>
        <item x="20"/>
        <item x="248"/>
        <item x="131"/>
        <item x="226"/>
        <item x="64"/>
        <item x="118"/>
        <item x="31"/>
        <item x="87"/>
        <item x="57"/>
        <item x="111"/>
        <item x="211"/>
        <item x="219"/>
        <item x="3"/>
        <item x="68"/>
        <item t="default"/>
      </items>
    </pivotField>
    <pivotField showAll="0"/>
    <pivotField showAll="0"/>
    <pivotField showAll="0"/>
    <pivotField axis="axisRow" showAll="0" sortType="descending">
      <items count="21">
        <item x="18"/>
        <item x="14"/>
        <item x="10"/>
        <item x="16"/>
        <item x="3"/>
        <item x="0"/>
        <item x="7"/>
        <item x="4"/>
        <item x="17"/>
        <item x="13"/>
        <item x="12"/>
        <item x="1"/>
        <item x="8"/>
        <item x="2"/>
        <item x="9"/>
        <item x="6"/>
        <item x="19"/>
        <item x="5"/>
        <item x="11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21">
    <i>
      <x v="4"/>
    </i>
    <i>
      <x v="5"/>
    </i>
    <i>
      <x v="6"/>
    </i>
    <i>
      <x v="14"/>
    </i>
    <i>
      <x v="7"/>
    </i>
    <i>
      <x v="1"/>
    </i>
    <i>
      <x v="2"/>
    </i>
    <i>
      <x v="15"/>
    </i>
    <i>
      <x v="10"/>
    </i>
    <i>
      <x v="17"/>
    </i>
    <i>
      <x v="18"/>
    </i>
    <i>
      <x v="12"/>
    </i>
    <i>
      <x/>
    </i>
    <i>
      <x v="19"/>
    </i>
    <i>
      <x v="9"/>
    </i>
    <i>
      <x v="8"/>
    </i>
    <i>
      <x v="16"/>
    </i>
    <i>
      <x v="3"/>
    </i>
    <i>
      <x v="13"/>
    </i>
    <i>
      <x v="11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6D4F31-D552-446E-B6AA-A49D090699C3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Category" tableColumnId="5"/>
      <queryTableField id="6" name="Product" tableColumnId="6"/>
      <queryTableField id="7" name="Quantity" tableColumnId="7"/>
      <queryTableField id="8" name="Unit_Price" tableColumnId="8"/>
      <queryTableField id="9" name="Sales" tableColumnId="9"/>
      <queryTableField id="10" name="Discount" tableColumnId="10"/>
      <queryTableField id="11" name="Profit" tableColumnId="11"/>
      <queryTableField id="14" dataBound="0" tableColumnId="14"/>
      <queryTableField id="12" name="Region" tableColumnId="12"/>
      <queryTableField id="13" name="Payment_Metho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7982F-D6D3-4F36-B44B-27C458E6E4C1}" name="sales_data" displayName="sales_data" ref="A1:N501" tableType="queryTable" totalsRowShown="0">
  <autoFilter ref="A1:N501" xr:uid="{1387982F-D6D3-4F36-B44B-27C458E6E4C1}"/>
  <tableColumns count="14">
    <tableColumn id="1" xr3:uid="{77790DB7-7FA7-49D8-9A74-D8FBBE0FF801}" uniqueName="1" name="Order_ID" queryTableFieldId="1" dataDxfId="8"/>
    <tableColumn id="2" xr3:uid="{3BACEA90-EFB4-443A-98BD-67369F128084}" uniqueName="2" name="Order_Date" queryTableFieldId="2" dataDxfId="7"/>
    <tableColumn id="3" xr3:uid="{C14CABF9-778A-4832-AFCE-D8C0E2C5BD09}" uniqueName="3" name="Customer_ID" queryTableFieldId="3" dataDxfId="6"/>
    <tableColumn id="4" xr3:uid="{31ADE006-6337-4D69-A87A-FC4253578FD4}" uniqueName="4" name="Customer_Name" queryTableFieldId="4" dataDxfId="5"/>
    <tableColumn id="5" xr3:uid="{FB5713B3-FF3A-46C5-9A18-9E6701530209}" uniqueName="5" name="Category" queryTableFieldId="5" dataDxfId="4"/>
    <tableColumn id="6" xr3:uid="{E716ADC1-FA23-4496-BEA1-E13B8AD30962}" uniqueName="6" name="Product" queryTableFieldId="6" dataDxfId="3"/>
    <tableColumn id="7" xr3:uid="{18046080-F411-4BDB-A176-E86753CAAA1A}" uniqueName="7" name="Quantity" queryTableFieldId="7"/>
    <tableColumn id="8" xr3:uid="{AD91B78F-D313-43DC-AD9C-0E8E8329ECDD}" uniqueName="8" name="Unit_Price" queryTableFieldId="8"/>
    <tableColumn id="9" xr3:uid="{06AB763F-AFE4-48E7-A5F5-EDFA1D51A0AF}" uniqueName="9" name="Sales" queryTableFieldId="9"/>
    <tableColumn id="10" xr3:uid="{F1776CB0-B178-4D36-8D57-81212065328F}" uniqueName="10" name="Discount" queryTableFieldId="10"/>
    <tableColumn id="11" xr3:uid="{B39E15E4-5B49-46EA-AA2D-4DEF931414DE}" uniqueName="11" name="Profit" queryTableFieldId="11"/>
    <tableColumn id="14" xr3:uid="{C6B9833D-EBC6-4ADF-A0F3-1F53CF8CD6B6}" uniqueName="14" name="Profit_Margin" queryTableFieldId="14" dataDxfId="0">
      <calculatedColumnFormula>sales_data[[#This Row],[Profit]]/sales_data[[#This Row],[Sales]]</calculatedColumnFormula>
    </tableColumn>
    <tableColumn id="12" xr3:uid="{CA9ACBCF-B4AE-4B4A-9F2F-F4867D63FDC1}" uniqueName="12" name="Region" queryTableFieldId="12" dataDxfId="2"/>
    <tableColumn id="13" xr3:uid="{37873A82-E1E6-4E3A-AECA-4F7F990FD797}" uniqueName="13" name="Payment_Method" queryTableFieldId="1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E5C3-71DF-4E24-9AB3-9D35EEAA5E5E}">
  <dimension ref="A3:B8"/>
  <sheetViews>
    <sheetView workbookViewId="0">
      <selection activeCell="J4" sqref="J4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4</v>
      </c>
      <c r="B3" t="s">
        <v>793</v>
      </c>
    </row>
    <row r="4" spans="1:2" x14ac:dyDescent="0.25">
      <c r="A4" s="3" t="s">
        <v>78</v>
      </c>
      <c r="B4" s="11">
        <v>31644.410000000007</v>
      </c>
    </row>
    <row r="5" spans="1:2" x14ac:dyDescent="0.25">
      <c r="A5" s="3" t="s">
        <v>16</v>
      </c>
      <c r="B5" s="11">
        <v>485235.31999999995</v>
      </c>
    </row>
    <row r="6" spans="1:2" x14ac:dyDescent="0.25">
      <c r="A6" s="3" t="s">
        <v>44</v>
      </c>
      <c r="B6" s="11">
        <v>121428.73000000001</v>
      </c>
    </row>
    <row r="7" spans="1:2" x14ac:dyDescent="0.25">
      <c r="A7" s="3" t="s">
        <v>23</v>
      </c>
      <c r="B7" s="11">
        <v>15559.620000000006</v>
      </c>
    </row>
    <row r="8" spans="1:2" x14ac:dyDescent="0.25">
      <c r="A8" s="3" t="s">
        <v>792</v>
      </c>
      <c r="B8" s="11">
        <v>653868.07999999996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6989-78CA-4E99-A1F7-BDDA2EEF1677}">
  <dimension ref="A3:B8"/>
  <sheetViews>
    <sheetView workbookViewId="0">
      <selection activeCell="G6" sqref="G6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2" t="s">
        <v>11</v>
      </c>
      <c r="B3" t="s">
        <v>791</v>
      </c>
    </row>
    <row r="4" spans="1:2" x14ac:dyDescent="0.25">
      <c r="A4" s="3" t="s">
        <v>18</v>
      </c>
      <c r="B4">
        <v>39941.85</v>
      </c>
    </row>
    <row r="5" spans="1:2" x14ac:dyDescent="0.25">
      <c r="A5" s="3" t="s">
        <v>35</v>
      </c>
      <c r="B5">
        <v>40112.86</v>
      </c>
    </row>
    <row r="6" spans="1:2" x14ac:dyDescent="0.25">
      <c r="A6" s="3" t="s">
        <v>46</v>
      </c>
      <c r="B6">
        <v>31243.35</v>
      </c>
    </row>
    <row r="7" spans="1:2" x14ac:dyDescent="0.25">
      <c r="A7" s="3" t="s">
        <v>25</v>
      </c>
      <c r="B7">
        <v>37490.589999999997</v>
      </c>
    </row>
    <row r="8" spans="1:2" x14ac:dyDescent="0.25">
      <c r="A8" s="3" t="s">
        <v>792</v>
      </c>
      <c r="B8">
        <v>148788.65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0282-F7BB-4D00-BB8B-161A9F8DCFA0}">
  <dimension ref="A3:B9"/>
  <sheetViews>
    <sheetView workbookViewId="0">
      <selection activeCell="C31" sqref="C31"/>
    </sheetView>
  </sheetViews>
  <sheetFormatPr defaultRowHeight="15" x14ac:dyDescent="0.25"/>
  <cols>
    <col min="1" max="1" width="14.85546875" bestFit="1" customWidth="1"/>
    <col min="2" max="2" width="12.140625" bestFit="1" customWidth="1"/>
  </cols>
  <sheetData>
    <row r="3" spans="1:2" x14ac:dyDescent="0.25">
      <c r="A3" s="2" t="s">
        <v>12</v>
      </c>
      <c r="B3" t="s">
        <v>793</v>
      </c>
    </row>
    <row r="4" spans="1:2" x14ac:dyDescent="0.25">
      <c r="A4" s="3" t="s">
        <v>19</v>
      </c>
      <c r="B4">
        <v>127581.86</v>
      </c>
    </row>
    <row r="5" spans="1:2" x14ac:dyDescent="0.25">
      <c r="A5" s="3" t="s">
        <v>30</v>
      </c>
      <c r="B5">
        <v>131959.32999999999</v>
      </c>
    </row>
    <row r="6" spans="1:2" x14ac:dyDescent="0.25">
      <c r="A6" s="3" t="s">
        <v>36</v>
      </c>
      <c r="B6">
        <v>158807.46</v>
      </c>
    </row>
    <row r="7" spans="1:2" x14ac:dyDescent="0.25">
      <c r="A7" s="3" t="s">
        <v>47</v>
      </c>
      <c r="B7">
        <v>130608.46</v>
      </c>
    </row>
    <row r="8" spans="1:2" x14ac:dyDescent="0.25">
      <c r="A8" s="3" t="s">
        <v>58</v>
      </c>
      <c r="B8">
        <v>104910.97</v>
      </c>
    </row>
    <row r="9" spans="1:2" x14ac:dyDescent="0.25">
      <c r="A9" s="3" t="s">
        <v>792</v>
      </c>
      <c r="B9">
        <v>653868.07999999996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C284-BAF2-4D83-ACE1-4262141BDBEB}">
  <dimension ref="D3:N8"/>
  <sheetViews>
    <sheetView tabSelected="1" topLeftCell="A4" zoomScale="53" zoomScaleNormal="53" workbookViewId="0">
      <selection activeCell="Q23" sqref="Q23"/>
    </sheetView>
  </sheetViews>
  <sheetFormatPr defaultRowHeight="15" x14ac:dyDescent="0.25"/>
  <cols>
    <col min="3" max="3" width="13.85546875" customWidth="1"/>
    <col min="4" max="4" width="9.5703125" hidden="1" customWidth="1"/>
    <col min="6" max="6" width="10.5703125" customWidth="1"/>
    <col min="8" max="8" width="11.140625" customWidth="1"/>
    <col min="9" max="9" width="12.140625" customWidth="1"/>
    <col min="10" max="12" width="11" customWidth="1"/>
    <col min="13" max="13" width="22" customWidth="1"/>
    <col min="14" max="14" width="2.7109375" customWidth="1"/>
  </cols>
  <sheetData>
    <row r="3" spans="4:14" x14ac:dyDescent="0.25">
      <c r="D3" s="4"/>
    </row>
    <row r="4" spans="4:14" x14ac:dyDescent="0.25">
      <c r="D4" s="4"/>
    </row>
    <row r="5" spans="4:14" x14ac:dyDescent="0.25">
      <c r="E5" s="9" t="s">
        <v>798</v>
      </c>
      <c r="F5" s="9"/>
      <c r="G5" s="9"/>
      <c r="H5" s="9"/>
      <c r="I5" s="9"/>
      <c r="J5" s="9"/>
      <c r="K5" s="9"/>
      <c r="L5" s="9"/>
      <c r="M5" s="9"/>
      <c r="N5" s="9"/>
    </row>
    <row r="6" spans="4:14" x14ac:dyDescent="0.25">
      <c r="E6" s="9"/>
      <c r="F6" s="9"/>
      <c r="G6" s="9"/>
      <c r="H6" s="9"/>
      <c r="I6" s="9"/>
      <c r="J6" s="9"/>
      <c r="K6" s="9"/>
      <c r="L6" s="9"/>
      <c r="M6" s="9"/>
      <c r="N6" s="9"/>
    </row>
    <row r="7" spans="4:14" x14ac:dyDescent="0.25">
      <c r="E7" s="5" t="s">
        <v>794</v>
      </c>
      <c r="F7" s="5"/>
      <c r="G7" s="6" t="s">
        <v>795</v>
      </c>
      <c r="H7" s="6"/>
      <c r="I7" s="7" t="s">
        <v>796</v>
      </c>
      <c r="J7" s="7"/>
      <c r="K7" s="16" t="s">
        <v>797</v>
      </c>
      <c r="L7" s="17"/>
      <c r="M7" s="8" t="s">
        <v>817</v>
      </c>
      <c r="N7" s="8"/>
    </row>
    <row r="8" spans="4:14" x14ac:dyDescent="0.25">
      <c r="E8" s="5">
        <v>653868.07999999996</v>
      </c>
      <c r="F8" s="5"/>
      <c r="G8" s="6">
        <v>148788.65</v>
      </c>
      <c r="H8" s="6"/>
      <c r="I8" s="7">
        <v>1999</v>
      </c>
      <c r="J8" s="7"/>
      <c r="K8" s="16">
        <v>1307.7360000000001</v>
      </c>
      <c r="L8" s="17"/>
      <c r="M8" s="18">
        <v>0.22800000000000001</v>
      </c>
      <c r="N8" s="8"/>
    </row>
  </sheetData>
  <mergeCells count="11">
    <mergeCell ref="E8:F8"/>
    <mergeCell ref="G8:H8"/>
    <mergeCell ref="I8:J8"/>
    <mergeCell ref="M8:N8"/>
    <mergeCell ref="E5:N6"/>
    <mergeCell ref="E7:F7"/>
    <mergeCell ref="G7:H7"/>
    <mergeCell ref="I7:J7"/>
    <mergeCell ref="M7:N7"/>
    <mergeCell ref="K7:L7"/>
    <mergeCell ref="K8:L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7891-5444-4FB8-91ED-6F9FBCD5627F}">
  <dimension ref="A2:C17"/>
  <sheetViews>
    <sheetView workbookViewId="0">
      <selection activeCell="D6" sqref="D6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2" spans="1:3" x14ac:dyDescent="0.25">
      <c r="A2" s="13" t="s">
        <v>812</v>
      </c>
      <c r="B2" s="13"/>
    </row>
    <row r="3" spans="1:3" x14ac:dyDescent="0.25">
      <c r="A3" s="2" t="s">
        <v>816</v>
      </c>
      <c r="B3" t="s">
        <v>793</v>
      </c>
      <c r="C3" t="s">
        <v>791</v>
      </c>
    </row>
    <row r="4" spans="1:3" x14ac:dyDescent="0.25">
      <c r="A4" s="3" t="s">
        <v>811</v>
      </c>
      <c r="B4" s="11">
        <v>653868.07999999996</v>
      </c>
      <c r="C4" s="11">
        <v>148788.65000000002</v>
      </c>
    </row>
    <row r="5" spans="1:3" x14ac:dyDescent="0.25">
      <c r="A5" s="12" t="s">
        <v>799</v>
      </c>
      <c r="B5" s="11">
        <v>66887.430000000008</v>
      </c>
      <c r="C5" s="11">
        <v>14901.35</v>
      </c>
    </row>
    <row r="6" spans="1:3" x14ac:dyDescent="0.25">
      <c r="A6" s="12" t="s">
        <v>800</v>
      </c>
      <c r="B6" s="11">
        <v>55068.919999999991</v>
      </c>
      <c r="C6" s="11">
        <v>12273.090000000004</v>
      </c>
    </row>
    <row r="7" spans="1:3" x14ac:dyDescent="0.25">
      <c r="A7" s="12" t="s">
        <v>801</v>
      </c>
      <c r="B7" s="11">
        <v>29947.83</v>
      </c>
      <c r="C7" s="11">
        <v>7340.300000000002</v>
      </c>
    </row>
    <row r="8" spans="1:3" x14ac:dyDescent="0.25">
      <c r="A8" s="12" t="s">
        <v>802</v>
      </c>
      <c r="B8" s="11">
        <v>70445.75</v>
      </c>
      <c r="C8" s="11">
        <v>15465.519999999995</v>
      </c>
    </row>
    <row r="9" spans="1:3" x14ac:dyDescent="0.25">
      <c r="A9" s="12" t="s">
        <v>803</v>
      </c>
      <c r="B9" s="11">
        <v>40302.82</v>
      </c>
      <c r="C9" s="11">
        <v>9341.1200000000008</v>
      </c>
    </row>
    <row r="10" spans="1:3" x14ac:dyDescent="0.25">
      <c r="A10" s="12" t="s">
        <v>804</v>
      </c>
      <c r="B10" s="11">
        <v>33286.300000000003</v>
      </c>
      <c r="C10" s="11">
        <v>7764.18</v>
      </c>
    </row>
    <row r="11" spans="1:3" x14ac:dyDescent="0.25">
      <c r="A11" s="12" t="s">
        <v>805</v>
      </c>
      <c r="B11" s="11">
        <v>66719.639999999985</v>
      </c>
      <c r="C11" s="11">
        <v>15418.42</v>
      </c>
    </row>
    <row r="12" spans="1:3" x14ac:dyDescent="0.25">
      <c r="A12" s="12" t="s">
        <v>806</v>
      </c>
      <c r="B12" s="11">
        <v>63189.219999999987</v>
      </c>
      <c r="C12" s="11">
        <v>13878.88</v>
      </c>
    </row>
    <row r="13" spans="1:3" x14ac:dyDescent="0.25">
      <c r="A13" s="12" t="s">
        <v>807</v>
      </c>
      <c r="B13" s="11">
        <v>79740.980000000025</v>
      </c>
      <c r="C13" s="11">
        <v>18240.990000000002</v>
      </c>
    </row>
    <row r="14" spans="1:3" x14ac:dyDescent="0.25">
      <c r="A14" s="12" t="s">
        <v>808</v>
      </c>
      <c r="B14" s="11">
        <v>43842.09</v>
      </c>
      <c r="C14" s="11">
        <v>9828.5</v>
      </c>
    </row>
    <row r="15" spans="1:3" x14ac:dyDescent="0.25">
      <c r="A15" s="12" t="s">
        <v>809</v>
      </c>
      <c r="B15" s="11">
        <v>41542.699999999997</v>
      </c>
      <c r="C15" s="11">
        <v>9815.8500000000022</v>
      </c>
    </row>
    <row r="16" spans="1:3" x14ac:dyDescent="0.25">
      <c r="A16" s="12" t="s">
        <v>810</v>
      </c>
      <c r="B16" s="11">
        <v>62894.399999999994</v>
      </c>
      <c r="C16" s="11">
        <v>14520.449999999997</v>
      </c>
    </row>
    <row r="17" spans="1:3" x14ac:dyDescent="0.25">
      <c r="A17" s="3" t="s">
        <v>792</v>
      </c>
      <c r="B17" s="11">
        <v>653868.07999999996</v>
      </c>
      <c r="C17" s="11">
        <v>148788.65000000002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0138-0DF3-4F15-9617-67215FFBBD98}">
  <dimension ref="A2:E24"/>
  <sheetViews>
    <sheetView workbookViewId="0">
      <selection activeCell="E16" sqref="E16"/>
    </sheetView>
  </sheetViews>
  <sheetFormatPr defaultRowHeight="15" x14ac:dyDescent="0.25"/>
  <cols>
    <col min="1" max="1" width="13.140625" bestFit="1" customWidth="1"/>
    <col min="2" max="2" width="12.140625" bestFit="1" customWidth="1"/>
    <col min="4" max="5" width="12.140625" bestFit="1" customWidth="1"/>
  </cols>
  <sheetData>
    <row r="2" spans="1:5" x14ac:dyDescent="0.25">
      <c r="A2" s="13" t="s">
        <v>813</v>
      </c>
      <c r="B2" s="13"/>
      <c r="D2" s="13" t="s">
        <v>813</v>
      </c>
      <c r="E2" s="13"/>
    </row>
    <row r="3" spans="1:5" x14ac:dyDescent="0.25">
      <c r="A3" s="2" t="s">
        <v>5</v>
      </c>
      <c r="B3" t="s">
        <v>793</v>
      </c>
      <c r="D3" s="10" t="s">
        <v>5</v>
      </c>
      <c r="E3" s="10" t="s">
        <v>793</v>
      </c>
    </row>
    <row r="4" spans="1:5" x14ac:dyDescent="0.25">
      <c r="A4" s="3" t="s">
        <v>34</v>
      </c>
      <c r="B4" s="11">
        <v>120687.39000000001</v>
      </c>
      <c r="D4" s="3" t="s">
        <v>34</v>
      </c>
      <c r="E4" s="11">
        <v>120687.39000000001</v>
      </c>
    </row>
    <row r="5" spans="1:5" x14ac:dyDescent="0.25">
      <c r="A5" s="3" t="s">
        <v>17</v>
      </c>
      <c r="B5" s="11">
        <v>114037.98000000003</v>
      </c>
      <c r="D5" s="3" t="s">
        <v>17</v>
      </c>
      <c r="E5" s="11">
        <v>114037.98000000003</v>
      </c>
    </row>
    <row r="6" spans="1:5" x14ac:dyDescent="0.25">
      <c r="A6" s="3" t="s">
        <v>71</v>
      </c>
      <c r="B6" s="11">
        <v>95902.62000000001</v>
      </c>
      <c r="D6" s="3" t="s">
        <v>71</v>
      </c>
      <c r="E6" s="11">
        <v>95902.62000000001</v>
      </c>
    </row>
    <row r="7" spans="1:5" x14ac:dyDescent="0.25">
      <c r="A7" s="3" t="s">
        <v>89</v>
      </c>
      <c r="B7" s="11">
        <v>83418.39</v>
      </c>
      <c r="D7" s="3" t="s">
        <v>89</v>
      </c>
      <c r="E7" s="11">
        <v>83418.39</v>
      </c>
    </row>
    <row r="8" spans="1:5" x14ac:dyDescent="0.25">
      <c r="A8" s="3" t="s">
        <v>40</v>
      </c>
      <c r="B8" s="11">
        <v>71188.94</v>
      </c>
      <c r="D8" s="3" t="s">
        <v>40</v>
      </c>
      <c r="E8" s="11">
        <v>71188.94</v>
      </c>
    </row>
    <row r="9" spans="1:5" x14ac:dyDescent="0.25">
      <c r="A9" s="3" t="s">
        <v>127</v>
      </c>
      <c r="B9" s="11">
        <v>30068.67</v>
      </c>
      <c r="D9" s="3" t="s">
        <v>127</v>
      </c>
      <c r="E9" s="11">
        <v>30068.67</v>
      </c>
    </row>
    <row r="10" spans="1:5" x14ac:dyDescent="0.25">
      <c r="A10" s="3" t="s">
        <v>96</v>
      </c>
      <c r="B10" s="11">
        <v>25512.400000000001</v>
      </c>
      <c r="D10" s="3" t="s">
        <v>96</v>
      </c>
      <c r="E10" s="11">
        <v>25512.400000000001</v>
      </c>
    </row>
    <row r="11" spans="1:5" x14ac:dyDescent="0.25">
      <c r="A11" s="3" t="s">
        <v>51</v>
      </c>
      <c r="B11" s="11">
        <v>23665.949999999997</v>
      </c>
      <c r="D11" s="3" t="s">
        <v>51</v>
      </c>
      <c r="E11" s="11">
        <v>23665.949999999997</v>
      </c>
    </row>
    <row r="12" spans="1:5" x14ac:dyDescent="0.25">
      <c r="A12" s="3" t="s">
        <v>110</v>
      </c>
      <c r="B12" s="11">
        <v>21730.450000000004</v>
      </c>
      <c r="D12" s="3" t="s">
        <v>110</v>
      </c>
      <c r="E12" s="11">
        <v>21730.450000000004</v>
      </c>
    </row>
    <row r="13" spans="1:5" x14ac:dyDescent="0.25">
      <c r="A13" s="3" t="s">
        <v>45</v>
      </c>
      <c r="B13" s="11">
        <v>20451.260000000002</v>
      </c>
      <c r="D13" s="3" t="s">
        <v>45</v>
      </c>
      <c r="E13" s="11">
        <v>20451.260000000002</v>
      </c>
    </row>
    <row r="14" spans="1:5" x14ac:dyDescent="0.25">
      <c r="A14" s="3" t="s">
        <v>106</v>
      </c>
      <c r="B14" s="11">
        <v>8379.8299999999981</v>
      </c>
    </row>
    <row r="15" spans="1:5" x14ac:dyDescent="0.25">
      <c r="A15" s="3" t="s">
        <v>79</v>
      </c>
      <c r="B15" s="11">
        <v>8192.52</v>
      </c>
    </row>
    <row r="16" spans="1:5" x14ac:dyDescent="0.25">
      <c r="A16" s="3" t="s">
        <v>255</v>
      </c>
      <c r="B16" s="11">
        <v>6868.8400000000011</v>
      </c>
    </row>
    <row r="17" spans="1:2" x14ac:dyDescent="0.25">
      <c r="A17" s="3" t="s">
        <v>194</v>
      </c>
      <c r="B17" s="11">
        <v>4952.1400000000003</v>
      </c>
    </row>
    <row r="18" spans="1:2" x14ac:dyDescent="0.25">
      <c r="A18" s="3" t="s">
        <v>117</v>
      </c>
      <c r="B18" s="11">
        <v>4659.8999999999987</v>
      </c>
    </row>
    <row r="19" spans="1:2" x14ac:dyDescent="0.25">
      <c r="A19" s="3" t="s">
        <v>205</v>
      </c>
      <c r="B19" s="11">
        <v>3251.08</v>
      </c>
    </row>
    <row r="20" spans="1:2" x14ac:dyDescent="0.25">
      <c r="A20" s="3" t="s">
        <v>281</v>
      </c>
      <c r="B20" s="11">
        <v>3085.2099999999996</v>
      </c>
    </row>
    <row r="21" spans="1:2" x14ac:dyDescent="0.25">
      <c r="A21" s="3" t="s">
        <v>196</v>
      </c>
      <c r="B21" s="11">
        <v>2826.3799999999997</v>
      </c>
    </row>
    <row r="22" spans="1:2" x14ac:dyDescent="0.25">
      <c r="A22" s="3" t="s">
        <v>29</v>
      </c>
      <c r="B22" s="11">
        <v>2692.8899999999994</v>
      </c>
    </row>
    <row r="23" spans="1:2" x14ac:dyDescent="0.25">
      <c r="A23" s="3" t="s">
        <v>24</v>
      </c>
      <c r="B23" s="11">
        <v>2295.2399999999998</v>
      </c>
    </row>
    <row r="24" spans="1:2" x14ac:dyDescent="0.25">
      <c r="A24" s="3" t="s">
        <v>792</v>
      </c>
      <c r="B24" s="11">
        <v>653868.07999999996</v>
      </c>
    </row>
  </sheetData>
  <mergeCells count="2">
    <mergeCell ref="A2:B2"/>
    <mergeCell ref="D2:E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7DEA-64B5-401B-9B5B-82DE5BEDEB64}">
  <dimension ref="A1:Q501"/>
  <sheetViews>
    <sheetView workbookViewId="0">
      <selection activeCell="Q12" sqref="Q12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4.7109375" bestFit="1" customWidth="1"/>
    <col min="4" max="4" width="18.28515625" bestFit="1" customWidth="1"/>
    <col min="5" max="5" width="14.5703125" bestFit="1" customWidth="1"/>
    <col min="6" max="6" width="12.7109375" bestFit="1" customWidth="1"/>
    <col min="7" max="7" width="11" bestFit="1" customWidth="1"/>
    <col min="8" max="8" width="12.5703125" bestFit="1" customWidth="1"/>
    <col min="9" max="9" width="8" bestFit="1" customWidth="1"/>
    <col min="10" max="10" width="11" bestFit="1" customWidth="1"/>
    <col min="11" max="11" width="8.28515625" bestFit="1" customWidth="1"/>
    <col min="12" max="12" width="15.7109375" style="14" bestFit="1" customWidth="1"/>
    <col min="13" max="13" width="9.42578125" bestFit="1" customWidth="1"/>
    <col min="14" max="14" width="19.5703125" bestFit="1" customWidth="1"/>
    <col min="16" max="16" width="20.7109375" bestFit="1" customWidth="1"/>
    <col min="17" max="17" width="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4" t="s">
        <v>814</v>
      </c>
      <c r="M1" t="s">
        <v>11</v>
      </c>
      <c r="N1" t="s">
        <v>12</v>
      </c>
    </row>
    <row r="2" spans="1:17" x14ac:dyDescent="0.25">
      <c r="A2" t="s">
        <v>13</v>
      </c>
      <c r="B2" s="1">
        <v>45928</v>
      </c>
      <c r="C2" t="s">
        <v>14</v>
      </c>
      <c r="D2" t="s">
        <v>15</v>
      </c>
      <c r="E2" t="s">
        <v>16</v>
      </c>
      <c r="F2" t="s">
        <v>17</v>
      </c>
      <c r="G2">
        <v>5</v>
      </c>
      <c r="H2">
        <v>726.3</v>
      </c>
      <c r="I2">
        <v>3449.92</v>
      </c>
      <c r="J2">
        <v>0.05</v>
      </c>
      <c r="K2">
        <v>714.14</v>
      </c>
      <c r="L2" s="14">
        <f>sales_data[[#This Row],[Profit]]/sales_data[[#This Row],[Sales]]</f>
        <v>0.20700190149336795</v>
      </c>
      <c r="M2" t="s">
        <v>18</v>
      </c>
      <c r="N2" t="s">
        <v>19</v>
      </c>
    </row>
    <row r="3" spans="1:17" x14ac:dyDescent="0.25">
      <c r="A3" t="s">
        <v>20</v>
      </c>
      <c r="B3" s="1">
        <v>45807</v>
      </c>
      <c r="C3" t="s">
        <v>21</v>
      </c>
      <c r="D3" t="s">
        <v>22</v>
      </c>
      <c r="E3" t="s">
        <v>23</v>
      </c>
      <c r="F3" t="s">
        <v>24</v>
      </c>
      <c r="G3">
        <v>2</v>
      </c>
      <c r="H3">
        <v>58.59</v>
      </c>
      <c r="I3">
        <v>99.6</v>
      </c>
      <c r="J3">
        <v>0.15</v>
      </c>
      <c r="K3">
        <v>43.82</v>
      </c>
      <c r="L3" s="14">
        <f>sales_data[[#This Row],[Profit]]/sales_data[[#This Row],[Sales]]</f>
        <v>0.43995983935742977</v>
      </c>
      <c r="M3" t="s">
        <v>25</v>
      </c>
      <c r="N3" t="s">
        <v>19</v>
      </c>
    </row>
    <row r="4" spans="1:17" x14ac:dyDescent="0.25">
      <c r="A4" t="s">
        <v>26</v>
      </c>
      <c r="B4" s="1">
        <v>45679</v>
      </c>
      <c r="C4" t="s">
        <v>27</v>
      </c>
      <c r="D4" t="s">
        <v>28</v>
      </c>
      <c r="E4" t="s">
        <v>23</v>
      </c>
      <c r="F4" t="s">
        <v>29</v>
      </c>
      <c r="G4">
        <v>1</v>
      </c>
      <c r="H4">
        <v>25.42</v>
      </c>
      <c r="I4">
        <v>22.88</v>
      </c>
      <c r="J4">
        <v>0.1</v>
      </c>
      <c r="K4">
        <v>9.9700000000000006</v>
      </c>
      <c r="L4" s="14">
        <f>sales_data[[#This Row],[Profit]]/sales_data[[#This Row],[Sales]]</f>
        <v>0.43575174825174828</v>
      </c>
      <c r="M4" t="s">
        <v>25</v>
      </c>
      <c r="N4" t="s">
        <v>30</v>
      </c>
    </row>
    <row r="5" spans="1:17" x14ac:dyDescent="0.25">
      <c r="A5" t="s">
        <v>31</v>
      </c>
      <c r="B5" s="1">
        <v>46021</v>
      </c>
      <c r="C5" t="s">
        <v>32</v>
      </c>
      <c r="D5" t="s">
        <v>33</v>
      </c>
      <c r="E5" t="s">
        <v>16</v>
      </c>
      <c r="F5" t="s">
        <v>34</v>
      </c>
      <c r="G5">
        <v>4</v>
      </c>
      <c r="H5">
        <v>721.09</v>
      </c>
      <c r="I5">
        <v>2884.36</v>
      </c>
      <c r="J5">
        <v>0</v>
      </c>
      <c r="K5">
        <v>553.14</v>
      </c>
      <c r="L5" s="14">
        <f>sales_data[[#This Row],[Profit]]/sales_data[[#This Row],[Sales]]</f>
        <v>0.19177217823017931</v>
      </c>
      <c r="M5" t="s">
        <v>35</v>
      </c>
      <c r="N5" t="s">
        <v>36</v>
      </c>
      <c r="P5" t="s">
        <v>786</v>
      </c>
      <c r="Q5" s="4">
        <f>SUM(sales_data[Sales])</f>
        <v>653868.07999999879</v>
      </c>
    </row>
    <row r="6" spans="1:17" x14ac:dyDescent="0.25">
      <c r="A6" t="s">
        <v>37</v>
      </c>
      <c r="B6" s="1">
        <v>45746</v>
      </c>
      <c r="C6" t="s">
        <v>38</v>
      </c>
      <c r="D6" t="s">
        <v>39</v>
      </c>
      <c r="E6" t="s">
        <v>16</v>
      </c>
      <c r="F6" t="s">
        <v>40</v>
      </c>
      <c r="G6">
        <v>6</v>
      </c>
      <c r="H6">
        <v>974.87</v>
      </c>
      <c r="I6">
        <v>5556.76</v>
      </c>
      <c r="J6">
        <v>0.05</v>
      </c>
      <c r="K6">
        <v>1150.6400000000001</v>
      </c>
      <c r="L6" s="14">
        <f>sales_data[[#This Row],[Profit]]/sales_data[[#This Row],[Sales]]</f>
        <v>0.20707030715740829</v>
      </c>
      <c r="M6" t="s">
        <v>25</v>
      </c>
      <c r="N6" t="s">
        <v>30</v>
      </c>
      <c r="P6" t="s">
        <v>787</v>
      </c>
      <c r="Q6" s="4">
        <f>SUM(sales_data[Profit])</f>
        <v>148788.65000000005</v>
      </c>
    </row>
    <row r="7" spans="1:17" x14ac:dyDescent="0.25">
      <c r="A7" t="s">
        <v>41</v>
      </c>
      <c r="B7" s="1">
        <v>45921</v>
      </c>
      <c r="C7" t="s">
        <v>42</v>
      </c>
      <c r="D7" t="s">
        <v>43</v>
      </c>
      <c r="E7" t="s">
        <v>44</v>
      </c>
      <c r="F7" t="s">
        <v>45</v>
      </c>
      <c r="G7">
        <v>3</v>
      </c>
      <c r="H7">
        <v>639.24</v>
      </c>
      <c r="I7">
        <v>1917.72</v>
      </c>
      <c r="J7">
        <v>0</v>
      </c>
      <c r="K7">
        <v>556.38</v>
      </c>
      <c r="L7" s="14">
        <f>sales_data[[#This Row],[Profit]]/sales_data[[#This Row],[Sales]]</f>
        <v>0.290125774357049</v>
      </c>
      <c r="M7" t="s">
        <v>46</v>
      </c>
      <c r="N7" t="s">
        <v>47</v>
      </c>
      <c r="P7" t="s">
        <v>788</v>
      </c>
      <c r="Q7" s="4">
        <f>SUM(sales_data[Quantity])</f>
        <v>1999</v>
      </c>
    </row>
    <row r="8" spans="1:17" x14ac:dyDescent="0.25">
      <c r="A8" t="s">
        <v>48</v>
      </c>
      <c r="B8" s="1">
        <v>45848</v>
      </c>
      <c r="C8" t="s">
        <v>49</v>
      </c>
      <c r="D8" t="s">
        <v>50</v>
      </c>
      <c r="E8" t="s">
        <v>44</v>
      </c>
      <c r="F8" t="s">
        <v>51</v>
      </c>
      <c r="G8">
        <v>2</v>
      </c>
      <c r="H8">
        <v>331.34</v>
      </c>
      <c r="I8">
        <v>629.54999999999995</v>
      </c>
      <c r="J8">
        <v>0.05</v>
      </c>
      <c r="K8">
        <v>177.66</v>
      </c>
      <c r="L8" s="14">
        <f>sales_data[[#This Row],[Profit]]/sales_data[[#This Row],[Sales]]</f>
        <v>0.28220157255182277</v>
      </c>
      <c r="M8" t="s">
        <v>18</v>
      </c>
      <c r="N8" t="s">
        <v>30</v>
      </c>
      <c r="P8" t="s">
        <v>789</v>
      </c>
      <c r="Q8" s="4">
        <f>AVERAGE(sales_data[Sales])</f>
        <v>1307.7361599999977</v>
      </c>
    </row>
    <row r="9" spans="1:17" x14ac:dyDescent="0.25">
      <c r="A9" t="s">
        <v>52</v>
      </c>
      <c r="B9" s="1">
        <v>45865</v>
      </c>
      <c r="C9" t="s">
        <v>53</v>
      </c>
      <c r="D9" t="s">
        <v>54</v>
      </c>
      <c r="E9" t="s">
        <v>16</v>
      </c>
      <c r="F9" t="s">
        <v>17</v>
      </c>
      <c r="G9">
        <v>2</v>
      </c>
      <c r="H9">
        <v>659.14</v>
      </c>
      <c r="I9">
        <v>1186.45</v>
      </c>
      <c r="J9">
        <v>0.1</v>
      </c>
      <c r="K9">
        <v>214.8</v>
      </c>
      <c r="L9" s="14">
        <f>sales_data[[#This Row],[Profit]]/sales_data[[#This Row],[Sales]]</f>
        <v>0.18104429179485018</v>
      </c>
      <c r="M9" t="s">
        <v>25</v>
      </c>
      <c r="N9" t="s">
        <v>30</v>
      </c>
      <c r="P9" t="s">
        <v>790</v>
      </c>
      <c r="Q9" s="4">
        <f>AVERAGE(sales_data[Profit])</f>
        <v>297.57730000000009</v>
      </c>
    </row>
    <row r="10" spans="1:17" x14ac:dyDescent="0.25">
      <c r="A10" t="s">
        <v>55</v>
      </c>
      <c r="B10" s="1">
        <v>45672</v>
      </c>
      <c r="C10" t="s">
        <v>56</v>
      </c>
      <c r="D10" t="s">
        <v>57</v>
      </c>
      <c r="E10" t="s">
        <v>16</v>
      </c>
      <c r="F10" t="s">
        <v>17</v>
      </c>
      <c r="G10">
        <v>1</v>
      </c>
      <c r="H10">
        <v>43.37</v>
      </c>
      <c r="I10">
        <v>41.2</v>
      </c>
      <c r="J10">
        <v>0.05</v>
      </c>
      <c r="K10">
        <v>8.16</v>
      </c>
      <c r="L10" s="14">
        <f>sales_data[[#This Row],[Profit]]/sales_data[[#This Row],[Sales]]</f>
        <v>0.19805825242718444</v>
      </c>
      <c r="M10" t="s">
        <v>25</v>
      </c>
      <c r="N10" t="s">
        <v>58</v>
      </c>
    </row>
    <row r="11" spans="1:17" x14ac:dyDescent="0.25">
      <c r="A11" t="s">
        <v>59</v>
      </c>
      <c r="B11" s="1">
        <v>45946</v>
      </c>
      <c r="C11" t="s">
        <v>60</v>
      </c>
      <c r="D11" t="s">
        <v>61</v>
      </c>
      <c r="E11" t="s">
        <v>16</v>
      </c>
      <c r="F11" t="s">
        <v>34</v>
      </c>
      <c r="G11">
        <v>2</v>
      </c>
      <c r="H11">
        <v>446.2</v>
      </c>
      <c r="I11">
        <v>892.4</v>
      </c>
      <c r="J11">
        <v>0</v>
      </c>
      <c r="K11">
        <v>164.3</v>
      </c>
      <c r="L11" s="14">
        <f>sales_data[[#This Row],[Profit]]/sales_data[[#This Row],[Sales]]</f>
        <v>0.18411026445540118</v>
      </c>
      <c r="M11" t="s">
        <v>25</v>
      </c>
      <c r="N11" t="s">
        <v>30</v>
      </c>
    </row>
    <row r="12" spans="1:17" x14ac:dyDescent="0.25">
      <c r="A12" t="s">
        <v>62</v>
      </c>
      <c r="B12" s="1">
        <v>45756</v>
      </c>
      <c r="C12" t="s">
        <v>63</v>
      </c>
      <c r="D12" t="s">
        <v>64</v>
      </c>
      <c r="E12" t="s">
        <v>16</v>
      </c>
      <c r="F12" t="s">
        <v>17</v>
      </c>
      <c r="G12">
        <v>6</v>
      </c>
      <c r="H12">
        <v>1067.47</v>
      </c>
      <c r="I12">
        <v>6084.58</v>
      </c>
      <c r="J12">
        <v>0.05</v>
      </c>
      <c r="K12">
        <v>1255.93</v>
      </c>
      <c r="L12" s="14">
        <f>sales_data[[#This Row],[Profit]]/sales_data[[#This Row],[Sales]]</f>
        <v>0.20641194626416287</v>
      </c>
      <c r="M12" t="s">
        <v>46</v>
      </c>
      <c r="N12" t="s">
        <v>58</v>
      </c>
      <c r="P12" t="s">
        <v>815</v>
      </c>
      <c r="Q12" s="15">
        <f>SUM(sales_data[Profit])/SUM(sales_data[Sales])</f>
        <v>0.22755148102657088</v>
      </c>
    </row>
    <row r="13" spans="1:17" x14ac:dyDescent="0.25">
      <c r="A13" t="s">
        <v>65</v>
      </c>
      <c r="B13" s="1">
        <v>45912</v>
      </c>
      <c r="C13" t="s">
        <v>66</v>
      </c>
      <c r="D13" t="s">
        <v>67</v>
      </c>
      <c r="E13" t="s">
        <v>23</v>
      </c>
      <c r="F13" t="s">
        <v>29</v>
      </c>
      <c r="G13">
        <v>7</v>
      </c>
      <c r="H13">
        <v>6.11</v>
      </c>
      <c r="I13">
        <v>38.49</v>
      </c>
      <c r="J13">
        <v>0.1</v>
      </c>
      <c r="K13">
        <v>16.809999999999999</v>
      </c>
      <c r="L13" s="14">
        <f>sales_data[[#This Row],[Profit]]/sales_data[[#This Row],[Sales]]</f>
        <v>0.43673681475707971</v>
      </c>
      <c r="M13" t="s">
        <v>25</v>
      </c>
      <c r="N13" t="s">
        <v>19</v>
      </c>
    </row>
    <row r="14" spans="1:17" x14ac:dyDescent="0.25">
      <c r="A14" t="s">
        <v>68</v>
      </c>
      <c r="B14" s="1">
        <v>45709</v>
      </c>
      <c r="C14" t="s">
        <v>69</v>
      </c>
      <c r="D14" t="s">
        <v>70</v>
      </c>
      <c r="E14" t="s">
        <v>16</v>
      </c>
      <c r="F14" t="s">
        <v>71</v>
      </c>
      <c r="G14">
        <v>4</v>
      </c>
      <c r="H14">
        <v>1091.3900000000001</v>
      </c>
      <c r="I14">
        <v>4365.5600000000004</v>
      </c>
      <c r="J14">
        <v>0</v>
      </c>
      <c r="K14">
        <v>863.02</v>
      </c>
      <c r="L14" s="14">
        <f>sales_data[[#This Row],[Profit]]/sales_data[[#This Row],[Sales]]</f>
        <v>0.19768826908804366</v>
      </c>
      <c r="M14" t="s">
        <v>18</v>
      </c>
      <c r="N14" t="s">
        <v>19</v>
      </c>
    </row>
    <row r="15" spans="1:17" x14ac:dyDescent="0.25">
      <c r="A15" t="s">
        <v>72</v>
      </c>
      <c r="B15" s="1">
        <v>45900</v>
      </c>
      <c r="C15" t="s">
        <v>73</v>
      </c>
      <c r="D15" t="s">
        <v>74</v>
      </c>
      <c r="E15" t="s">
        <v>16</v>
      </c>
      <c r="F15" t="s">
        <v>34</v>
      </c>
      <c r="G15">
        <v>4</v>
      </c>
      <c r="H15">
        <v>1117.3900000000001</v>
      </c>
      <c r="I15">
        <v>3799.13</v>
      </c>
      <c r="J15">
        <v>0.15</v>
      </c>
      <c r="K15">
        <v>725.63</v>
      </c>
      <c r="L15" s="14">
        <f>sales_data[[#This Row],[Profit]]/sales_data[[#This Row],[Sales]]</f>
        <v>0.19099899187445546</v>
      </c>
      <c r="M15" t="s">
        <v>46</v>
      </c>
      <c r="N15" t="s">
        <v>30</v>
      </c>
    </row>
    <row r="16" spans="1:17" x14ac:dyDescent="0.25">
      <c r="A16" t="s">
        <v>75</v>
      </c>
      <c r="B16" s="1">
        <v>45997</v>
      </c>
      <c r="C16" t="s">
        <v>76</v>
      </c>
      <c r="D16" t="s">
        <v>77</v>
      </c>
      <c r="E16" t="s">
        <v>78</v>
      </c>
      <c r="F16" t="s">
        <v>79</v>
      </c>
      <c r="G16">
        <v>6</v>
      </c>
      <c r="H16">
        <v>100.77</v>
      </c>
      <c r="I16">
        <v>513.92999999999995</v>
      </c>
      <c r="J16">
        <v>0.15</v>
      </c>
      <c r="K16">
        <v>186.62</v>
      </c>
      <c r="L16" s="14">
        <f>sales_data[[#This Row],[Profit]]/sales_data[[#This Row],[Sales]]</f>
        <v>0.36312338256182752</v>
      </c>
      <c r="M16" t="s">
        <v>18</v>
      </c>
      <c r="N16" t="s">
        <v>36</v>
      </c>
    </row>
    <row r="17" spans="1:14" x14ac:dyDescent="0.25">
      <c r="A17" t="s">
        <v>80</v>
      </c>
      <c r="B17" s="1">
        <v>45778</v>
      </c>
      <c r="C17" t="s">
        <v>81</v>
      </c>
      <c r="D17" t="s">
        <v>82</v>
      </c>
      <c r="E17" t="s">
        <v>16</v>
      </c>
      <c r="F17" t="s">
        <v>34</v>
      </c>
      <c r="G17">
        <v>5</v>
      </c>
      <c r="H17">
        <v>1036.3599999999999</v>
      </c>
      <c r="I17">
        <v>5181.8</v>
      </c>
      <c r="J17">
        <v>0</v>
      </c>
      <c r="K17">
        <v>1008.78</v>
      </c>
      <c r="L17" s="14">
        <f>sales_data[[#This Row],[Profit]]/sales_data[[#This Row],[Sales]]</f>
        <v>0.19467752518429887</v>
      </c>
      <c r="M17" t="s">
        <v>35</v>
      </c>
      <c r="N17" t="s">
        <v>19</v>
      </c>
    </row>
    <row r="18" spans="1:14" x14ac:dyDescent="0.25">
      <c r="A18" t="s">
        <v>83</v>
      </c>
      <c r="B18" s="1">
        <v>45829</v>
      </c>
      <c r="C18" t="s">
        <v>84</v>
      </c>
      <c r="D18" t="s">
        <v>85</v>
      </c>
      <c r="E18" t="s">
        <v>23</v>
      </c>
      <c r="F18" t="s">
        <v>29</v>
      </c>
      <c r="G18">
        <v>7</v>
      </c>
      <c r="H18">
        <v>15.96</v>
      </c>
      <c r="I18">
        <v>111.72</v>
      </c>
      <c r="J18">
        <v>0</v>
      </c>
      <c r="K18">
        <v>47.29</v>
      </c>
      <c r="L18" s="14">
        <f>sales_data[[#This Row],[Profit]]/sales_data[[#This Row],[Sales]]</f>
        <v>0.4232903687790906</v>
      </c>
      <c r="M18" t="s">
        <v>25</v>
      </c>
      <c r="N18" t="s">
        <v>36</v>
      </c>
    </row>
    <row r="19" spans="1:14" x14ac:dyDescent="0.25">
      <c r="A19" t="s">
        <v>86</v>
      </c>
      <c r="B19" s="1">
        <v>45709</v>
      </c>
      <c r="C19" t="s">
        <v>87</v>
      </c>
      <c r="D19" t="s">
        <v>88</v>
      </c>
      <c r="E19" t="s">
        <v>16</v>
      </c>
      <c r="F19" t="s">
        <v>89</v>
      </c>
      <c r="G19">
        <v>6</v>
      </c>
      <c r="H19">
        <v>843.16</v>
      </c>
      <c r="I19">
        <v>4553.0600000000004</v>
      </c>
      <c r="J19">
        <v>0.1</v>
      </c>
      <c r="K19">
        <v>935.92</v>
      </c>
      <c r="L19" s="14">
        <f>sales_data[[#This Row],[Profit]]/sales_data[[#This Row],[Sales]]</f>
        <v>0.20555845958542165</v>
      </c>
      <c r="M19" t="s">
        <v>25</v>
      </c>
      <c r="N19" t="s">
        <v>36</v>
      </c>
    </row>
    <row r="20" spans="1:14" x14ac:dyDescent="0.25">
      <c r="A20" t="s">
        <v>90</v>
      </c>
      <c r="B20" s="1">
        <v>45787</v>
      </c>
      <c r="C20" t="s">
        <v>91</v>
      </c>
      <c r="D20" t="s">
        <v>92</v>
      </c>
      <c r="E20" t="s">
        <v>16</v>
      </c>
      <c r="F20" t="s">
        <v>89</v>
      </c>
      <c r="G20">
        <v>6</v>
      </c>
      <c r="H20">
        <v>63.83</v>
      </c>
      <c r="I20">
        <v>363.83</v>
      </c>
      <c r="J20">
        <v>0.05</v>
      </c>
      <c r="K20">
        <v>69.48</v>
      </c>
      <c r="L20" s="14">
        <f>sales_data[[#This Row],[Profit]]/sales_data[[#This Row],[Sales]]</f>
        <v>0.19096830937525769</v>
      </c>
      <c r="M20" t="s">
        <v>46</v>
      </c>
      <c r="N20" t="s">
        <v>47</v>
      </c>
    </row>
    <row r="21" spans="1:14" x14ac:dyDescent="0.25">
      <c r="A21" t="s">
        <v>93</v>
      </c>
      <c r="B21" s="1">
        <v>45817</v>
      </c>
      <c r="C21" t="s">
        <v>94</v>
      </c>
      <c r="D21" t="s">
        <v>95</v>
      </c>
      <c r="E21" t="s">
        <v>44</v>
      </c>
      <c r="F21" t="s">
        <v>96</v>
      </c>
      <c r="G21">
        <v>7</v>
      </c>
      <c r="H21">
        <v>480.33</v>
      </c>
      <c r="I21">
        <v>3026.08</v>
      </c>
      <c r="J21">
        <v>0.1</v>
      </c>
      <c r="K21">
        <v>916.51</v>
      </c>
      <c r="L21" s="14">
        <f>sales_data[[#This Row],[Profit]]/sales_data[[#This Row],[Sales]]</f>
        <v>0.30287038016179346</v>
      </c>
      <c r="M21" t="s">
        <v>18</v>
      </c>
      <c r="N21" t="s">
        <v>19</v>
      </c>
    </row>
    <row r="22" spans="1:14" x14ac:dyDescent="0.25">
      <c r="A22" t="s">
        <v>97</v>
      </c>
      <c r="B22" s="1">
        <v>45897</v>
      </c>
      <c r="C22" t="s">
        <v>98</v>
      </c>
      <c r="D22" t="s">
        <v>99</v>
      </c>
      <c r="E22" t="s">
        <v>23</v>
      </c>
      <c r="F22" t="s">
        <v>24</v>
      </c>
      <c r="G22">
        <v>1</v>
      </c>
      <c r="H22">
        <v>14.61</v>
      </c>
      <c r="I22">
        <v>13.88</v>
      </c>
      <c r="J22">
        <v>0.05</v>
      </c>
      <c r="K22">
        <v>5.82</v>
      </c>
      <c r="L22" s="14">
        <f>sales_data[[#This Row],[Profit]]/sales_data[[#This Row],[Sales]]</f>
        <v>0.41930835734870314</v>
      </c>
      <c r="M22" t="s">
        <v>18</v>
      </c>
      <c r="N22" t="s">
        <v>30</v>
      </c>
    </row>
    <row r="23" spans="1:14" x14ac:dyDescent="0.25">
      <c r="A23" t="s">
        <v>100</v>
      </c>
      <c r="B23" s="1">
        <v>46003</v>
      </c>
      <c r="C23" t="s">
        <v>101</v>
      </c>
      <c r="D23" t="s">
        <v>102</v>
      </c>
      <c r="E23" t="s">
        <v>16</v>
      </c>
      <c r="F23" t="s">
        <v>40</v>
      </c>
      <c r="G23">
        <v>7</v>
      </c>
      <c r="H23">
        <v>291.13</v>
      </c>
      <c r="I23">
        <v>1834.12</v>
      </c>
      <c r="J23">
        <v>0.1</v>
      </c>
      <c r="K23">
        <v>375.57</v>
      </c>
      <c r="L23" s="14">
        <f>sales_data[[#This Row],[Profit]]/sales_data[[#This Row],[Sales]]</f>
        <v>0.20476849933483088</v>
      </c>
      <c r="M23" t="s">
        <v>35</v>
      </c>
      <c r="N23" t="s">
        <v>47</v>
      </c>
    </row>
    <row r="24" spans="1:14" x14ac:dyDescent="0.25">
      <c r="A24" t="s">
        <v>103</v>
      </c>
      <c r="B24" s="1">
        <v>45808</v>
      </c>
      <c r="C24" t="s">
        <v>104</v>
      </c>
      <c r="D24" t="s">
        <v>105</v>
      </c>
      <c r="E24" t="s">
        <v>78</v>
      </c>
      <c r="F24" t="s">
        <v>106</v>
      </c>
      <c r="G24">
        <v>6</v>
      </c>
      <c r="H24">
        <v>127.67</v>
      </c>
      <c r="I24">
        <v>766.02</v>
      </c>
      <c r="J24">
        <v>0</v>
      </c>
      <c r="K24">
        <v>294.73</v>
      </c>
      <c r="L24" s="14">
        <f>sales_data[[#This Row],[Profit]]/sales_data[[#This Row],[Sales]]</f>
        <v>0.38475496723323155</v>
      </c>
      <c r="M24" t="s">
        <v>25</v>
      </c>
      <c r="N24" t="s">
        <v>36</v>
      </c>
    </row>
    <row r="25" spans="1:14" x14ac:dyDescent="0.25">
      <c r="A25" t="s">
        <v>107</v>
      </c>
      <c r="B25" s="1">
        <v>45659</v>
      </c>
      <c r="C25" t="s">
        <v>108</v>
      </c>
      <c r="D25" t="s">
        <v>109</v>
      </c>
      <c r="E25" t="s">
        <v>44</v>
      </c>
      <c r="F25" t="s">
        <v>110</v>
      </c>
      <c r="G25">
        <v>6</v>
      </c>
      <c r="H25">
        <v>631.13</v>
      </c>
      <c r="I25">
        <v>3218.76</v>
      </c>
      <c r="J25">
        <v>0.15</v>
      </c>
      <c r="K25">
        <v>936.68</v>
      </c>
      <c r="L25" s="14">
        <f>sales_data[[#This Row],[Profit]]/sales_data[[#This Row],[Sales]]</f>
        <v>0.29100647454299167</v>
      </c>
      <c r="M25" t="s">
        <v>35</v>
      </c>
      <c r="N25" t="s">
        <v>36</v>
      </c>
    </row>
    <row r="26" spans="1:14" x14ac:dyDescent="0.25">
      <c r="A26" t="s">
        <v>111</v>
      </c>
      <c r="B26" s="1">
        <v>45809</v>
      </c>
      <c r="C26" t="s">
        <v>112</v>
      </c>
      <c r="D26" t="s">
        <v>113</v>
      </c>
      <c r="E26" t="s">
        <v>16</v>
      </c>
      <c r="F26" t="s">
        <v>34</v>
      </c>
      <c r="G26">
        <v>1</v>
      </c>
      <c r="H26">
        <v>779.39</v>
      </c>
      <c r="I26">
        <v>779.39</v>
      </c>
      <c r="J26">
        <v>0</v>
      </c>
      <c r="K26">
        <v>159.88999999999999</v>
      </c>
      <c r="L26" s="14">
        <f>sales_data[[#This Row],[Profit]]/sales_data[[#This Row],[Sales]]</f>
        <v>0.20514761544284632</v>
      </c>
      <c r="M26" t="s">
        <v>46</v>
      </c>
      <c r="N26" t="s">
        <v>30</v>
      </c>
    </row>
    <row r="27" spans="1:14" x14ac:dyDescent="0.25">
      <c r="A27" t="s">
        <v>114</v>
      </c>
      <c r="B27" s="1">
        <v>45756</v>
      </c>
      <c r="C27" t="s">
        <v>115</v>
      </c>
      <c r="D27" t="s">
        <v>116</v>
      </c>
      <c r="E27" t="s">
        <v>23</v>
      </c>
      <c r="F27" t="s">
        <v>117</v>
      </c>
      <c r="G27">
        <v>5</v>
      </c>
      <c r="H27">
        <v>24.86</v>
      </c>
      <c r="I27">
        <v>118.08</v>
      </c>
      <c r="J27">
        <v>0.05</v>
      </c>
      <c r="K27">
        <v>50.23</v>
      </c>
      <c r="L27" s="14">
        <f>sales_data[[#This Row],[Profit]]/sales_data[[#This Row],[Sales]]</f>
        <v>0.42538956639566394</v>
      </c>
      <c r="M27" t="s">
        <v>18</v>
      </c>
      <c r="N27" t="s">
        <v>19</v>
      </c>
    </row>
    <row r="28" spans="1:14" x14ac:dyDescent="0.25">
      <c r="A28" t="s">
        <v>118</v>
      </c>
      <c r="B28" s="1">
        <v>45725</v>
      </c>
      <c r="C28" t="s">
        <v>119</v>
      </c>
      <c r="D28" t="s">
        <v>120</v>
      </c>
      <c r="E28" t="s">
        <v>16</v>
      </c>
      <c r="F28" t="s">
        <v>71</v>
      </c>
      <c r="G28">
        <v>6</v>
      </c>
      <c r="H28">
        <v>407.34</v>
      </c>
      <c r="I28">
        <v>2199.64</v>
      </c>
      <c r="J28">
        <v>0.1</v>
      </c>
      <c r="K28">
        <v>419.06</v>
      </c>
      <c r="L28" s="14">
        <f>sales_data[[#This Row],[Profit]]/sales_data[[#This Row],[Sales]]</f>
        <v>0.19051299303522395</v>
      </c>
      <c r="M28" t="s">
        <v>18</v>
      </c>
      <c r="N28" t="s">
        <v>58</v>
      </c>
    </row>
    <row r="29" spans="1:14" x14ac:dyDescent="0.25">
      <c r="A29" t="s">
        <v>121</v>
      </c>
      <c r="B29" s="1">
        <v>45833</v>
      </c>
      <c r="C29" t="s">
        <v>122</v>
      </c>
      <c r="D29" t="s">
        <v>123</v>
      </c>
      <c r="E29" t="s">
        <v>23</v>
      </c>
      <c r="F29" t="s">
        <v>117</v>
      </c>
      <c r="G29">
        <v>3</v>
      </c>
      <c r="H29">
        <v>31.31</v>
      </c>
      <c r="I29">
        <v>93.93</v>
      </c>
      <c r="J29">
        <v>0</v>
      </c>
      <c r="K29">
        <v>40.64</v>
      </c>
      <c r="L29" s="14">
        <f>sales_data[[#This Row],[Profit]]/sales_data[[#This Row],[Sales]]</f>
        <v>0.43266262110081971</v>
      </c>
      <c r="M29" t="s">
        <v>46</v>
      </c>
      <c r="N29" t="s">
        <v>19</v>
      </c>
    </row>
    <row r="30" spans="1:14" x14ac:dyDescent="0.25">
      <c r="A30" t="s">
        <v>124</v>
      </c>
      <c r="B30" s="1">
        <v>45684</v>
      </c>
      <c r="C30" t="s">
        <v>125</v>
      </c>
      <c r="D30" t="s">
        <v>126</v>
      </c>
      <c r="E30" t="s">
        <v>44</v>
      </c>
      <c r="F30" t="s">
        <v>127</v>
      </c>
      <c r="G30">
        <v>5</v>
      </c>
      <c r="H30">
        <v>366.77</v>
      </c>
      <c r="I30">
        <v>1650.46</v>
      </c>
      <c r="J30">
        <v>0.1</v>
      </c>
      <c r="K30">
        <v>487.26</v>
      </c>
      <c r="L30" s="14">
        <f>sales_data[[#This Row],[Profit]]/sales_data[[#This Row],[Sales]]</f>
        <v>0.29522678525986695</v>
      </c>
      <c r="M30" t="s">
        <v>35</v>
      </c>
      <c r="N30" t="s">
        <v>30</v>
      </c>
    </row>
    <row r="31" spans="1:14" x14ac:dyDescent="0.25">
      <c r="A31" t="s">
        <v>128</v>
      </c>
      <c r="B31" s="1">
        <v>45661</v>
      </c>
      <c r="C31" t="s">
        <v>129</v>
      </c>
      <c r="D31" t="s">
        <v>130</v>
      </c>
      <c r="E31" t="s">
        <v>23</v>
      </c>
      <c r="F31" t="s">
        <v>24</v>
      </c>
      <c r="G31">
        <v>1</v>
      </c>
      <c r="H31">
        <v>6.36</v>
      </c>
      <c r="I31">
        <v>5.09</v>
      </c>
      <c r="J31">
        <v>0.2</v>
      </c>
      <c r="K31">
        <v>2.17</v>
      </c>
      <c r="L31" s="14">
        <f>sales_data[[#This Row],[Profit]]/sales_data[[#This Row],[Sales]]</f>
        <v>0.4263261296660118</v>
      </c>
      <c r="M31" t="s">
        <v>46</v>
      </c>
      <c r="N31" t="s">
        <v>19</v>
      </c>
    </row>
    <row r="32" spans="1:14" x14ac:dyDescent="0.25">
      <c r="A32" t="s">
        <v>131</v>
      </c>
      <c r="B32" s="1">
        <v>45890</v>
      </c>
      <c r="C32" t="s">
        <v>132</v>
      </c>
      <c r="D32" t="s">
        <v>133</v>
      </c>
      <c r="E32" t="s">
        <v>78</v>
      </c>
      <c r="F32" t="s">
        <v>79</v>
      </c>
      <c r="G32">
        <v>5</v>
      </c>
      <c r="H32">
        <v>81.650000000000006</v>
      </c>
      <c r="I32">
        <v>326.60000000000002</v>
      </c>
      <c r="J32">
        <v>0.2</v>
      </c>
      <c r="K32">
        <v>117.93</v>
      </c>
      <c r="L32" s="14">
        <f>sales_data[[#This Row],[Profit]]/sales_data[[#This Row],[Sales]]</f>
        <v>0.36108389467238211</v>
      </c>
      <c r="M32" t="s">
        <v>35</v>
      </c>
      <c r="N32" t="s">
        <v>30</v>
      </c>
    </row>
    <row r="33" spans="1:14" x14ac:dyDescent="0.25">
      <c r="A33" t="s">
        <v>134</v>
      </c>
      <c r="B33" s="1">
        <v>45818</v>
      </c>
      <c r="C33" t="s">
        <v>101</v>
      </c>
      <c r="D33" t="s">
        <v>102</v>
      </c>
      <c r="E33" t="s">
        <v>16</v>
      </c>
      <c r="F33" t="s">
        <v>17</v>
      </c>
      <c r="G33">
        <v>2</v>
      </c>
      <c r="H33">
        <v>679.24</v>
      </c>
      <c r="I33">
        <v>1154.71</v>
      </c>
      <c r="J33">
        <v>0.15</v>
      </c>
      <c r="K33">
        <v>218.38</v>
      </c>
      <c r="L33" s="14">
        <f>sales_data[[#This Row],[Profit]]/sales_data[[#This Row],[Sales]]</f>
        <v>0.18912107801958933</v>
      </c>
      <c r="M33" t="s">
        <v>25</v>
      </c>
      <c r="N33" t="s">
        <v>47</v>
      </c>
    </row>
    <row r="34" spans="1:14" x14ac:dyDescent="0.25">
      <c r="A34" t="s">
        <v>135</v>
      </c>
      <c r="B34" s="1">
        <v>45784</v>
      </c>
      <c r="C34" t="s">
        <v>136</v>
      </c>
      <c r="D34" t="s">
        <v>137</v>
      </c>
      <c r="E34" t="s">
        <v>23</v>
      </c>
      <c r="F34" t="s">
        <v>29</v>
      </c>
      <c r="G34">
        <v>2</v>
      </c>
      <c r="H34">
        <v>70.56</v>
      </c>
      <c r="I34">
        <v>127.01</v>
      </c>
      <c r="J34">
        <v>0.1</v>
      </c>
      <c r="K34">
        <v>53.23</v>
      </c>
      <c r="L34" s="14">
        <f>sales_data[[#This Row],[Profit]]/sales_data[[#This Row],[Sales]]</f>
        <v>0.4191008582001417</v>
      </c>
      <c r="M34" t="s">
        <v>18</v>
      </c>
      <c r="N34" t="s">
        <v>19</v>
      </c>
    </row>
    <row r="35" spans="1:14" x14ac:dyDescent="0.25">
      <c r="A35" t="s">
        <v>138</v>
      </c>
      <c r="B35" s="1">
        <v>46012</v>
      </c>
      <c r="C35" t="s">
        <v>139</v>
      </c>
      <c r="D35" t="s">
        <v>140</v>
      </c>
      <c r="E35" t="s">
        <v>16</v>
      </c>
      <c r="F35" t="s">
        <v>89</v>
      </c>
      <c r="G35">
        <v>1</v>
      </c>
      <c r="H35">
        <v>743.53</v>
      </c>
      <c r="I35">
        <v>743.53</v>
      </c>
      <c r="J35">
        <v>0</v>
      </c>
      <c r="K35">
        <v>156.03</v>
      </c>
      <c r="L35" s="14">
        <f>sales_data[[#This Row],[Profit]]/sales_data[[#This Row],[Sales]]</f>
        <v>0.20985030866273049</v>
      </c>
      <c r="M35" t="s">
        <v>25</v>
      </c>
      <c r="N35" t="s">
        <v>19</v>
      </c>
    </row>
    <row r="36" spans="1:14" x14ac:dyDescent="0.25">
      <c r="A36" t="s">
        <v>141</v>
      </c>
      <c r="B36" s="1">
        <v>45800</v>
      </c>
      <c r="C36" t="s">
        <v>91</v>
      </c>
      <c r="D36" t="s">
        <v>92</v>
      </c>
      <c r="E36" t="s">
        <v>16</v>
      </c>
      <c r="F36" t="s">
        <v>40</v>
      </c>
      <c r="G36">
        <v>2</v>
      </c>
      <c r="H36">
        <v>135.43</v>
      </c>
      <c r="I36">
        <v>243.77</v>
      </c>
      <c r="J36">
        <v>0.1</v>
      </c>
      <c r="K36">
        <v>50.93</v>
      </c>
      <c r="L36" s="14">
        <f>sales_data[[#This Row],[Profit]]/sales_data[[#This Row],[Sales]]</f>
        <v>0.20892644706075397</v>
      </c>
      <c r="M36" t="s">
        <v>35</v>
      </c>
      <c r="N36" t="s">
        <v>47</v>
      </c>
    </row>
    <row r="37" spans="1:14" x14ac:dyDescent="0.25">
      <c r="A37" t="s">
        <v>142</v>
      </c>
      <c r="B37" s="1">
        <v>45807</v>
      </c>
      <c r="C37" t="s">
        <v>143</v>
      </c>
      <c r="D37" t="s">
        <v>144</v>
      </c>
      <c r="E37" t="s">
        <v>44</v>
      </c>
      <c r="F37" t="s">
        <v>51</v>
      </c>
      <c r="G37">
        <v>2</v>
      </c>
      <c r="H37">
        <v>50.44</v>
      </c>
      <c r="I37">
        <v>100.88</v>
      </c>
      <c r="J37">
        <v>0</v>
      </c>
      <c r="K37">
        <v>28.78</v>
      </c>
      <c r="L37" s="14">
        <f>sales_data[[#This Row],[Profit]]/sales_data[[#This Row],[Sales]]</f>
        <v>0.28528945281522605</v>
      </c>
      <c r="M37" t="s">
        <v>46</v>
      </c>
      <c r="N37" t="s">
        <v>58</v>
      </c>
    </row>
    <row r="38" spans="1:14" x14ac:dyDescent="0.25">
      <c r="A38" t="s">
        <v>145</v>
      </c>
      <c r="B38" s="1">
        <v>45921</v>
      </c>
      <c r="C38" t="s">
        <v>21</v>
      </c>
      <c r="D38" t="s">
        <v>22</v>
      </c>
      <c r="E38" t="s">
        <v>16</v>
      </c>
      <c r="F38" t="s">
        <v>71</v>
      </c>
      <c r="G38">
        <v>4</v>
      </c>
      <c r="H38">
        <v>278.58999999999997</v>
      </c>
      <c r="I38">
        <v>1002.92</v>
      </c>
      <c r="J38">
        <v>0.1</v>
      </c>
      <c r="K38">
        <v>208.05</v>
      </c>
      <c r="L38" s="14">
        <f>sales_data[[#This Row],[Profit]]/sales_data[[#This Row],[Sales]]</f>
        <v>0.20744426275276195</v>
      </c>
      <c r="M38" t="s">
        <v>35</v>
      </c>
      <c r="N38" t="s">
        <v>30</v>
      </c>
    </row>
    <row r="39" spans="1:14" x14ac:dyDescent="0.25">
      <c r="A39" t="s">
        <v>146</v>
      </c>
      <c r="B39" s="1">
        <v>45968</v>
      </c>
      <c r="C39" t="s">
        <v>147</v>
      </c>
      <c r="D39" t="s">
        <v>148</v>
      </c>
      <c r="E39" t="s">
        <v>44</v>
      </c>
      <c r="F39" t="s">
        <v>127</v>
      </c>
      <c r="G39">
        <v>4</v>
      </c>
      <c r="H39">
        <v>118.94</v>
      </c>
      <c r="I39">
        <v>380.61</v>
      </c>
      <c r="J39">
        <v>0.2</v>
      </c>
      <c r="K39">
        <v>109.83</v>
      </c>
      <c r="L39" s="14">
        <f>sales_data[[#This Row],[Profit]]/sales_data[[#This Row],[Sales]]</f>
        <v>0.28856309608260422</v>
      </c>
      <c r="M39" t="s">
        <v>18</v>
      </c>
      <c r="N39" t="s">
        <v>36</v>
      </c>
    </row>
    <row r="40" spans="1:14" x14ac:dyDescent="0.25">
      <c r="A40" t="s">
        <v>149</v>
      </c>
      <c r="B40" s="1">
        <v>45749</v>
      </c>
      <c r="C40" t="s">
        <v>143</v>
      </c>
      <c r="D40" t="s">
        <v>144</v>
      </c>
      <c r="E40" t="s">
        <v>44</v>
      </c>
      <c r="F40" t="s">
        <v>127</v>
      </c>
      <c r="G40">
        <v>7</v>
      </c>
      <c r="H40">
        <v>198.08</v>
      </c>
      <c r="I40">
        <v>1386.56</v>
      </c>
      <c r="J40">
        <v>0</v>
      </c>
      <c r="K40">
        <v>426.47</v>
      </c>
      <c r="L40" s="14">
        <f>sales_data[[#This Row],[Profit]]/sales_data[[#This Row],[Sales]]</f>
        <v>0.30757414031848607</v>
      </c>
      <c r="M40" t="s">
        <v>18</v>
      </c>
      <c r="N40" t="s">
        <v>36</v>
      </c>
    </row>
    <row r="41" spans="1:14" x14ac:dyDescent="0.25">
      <c r="A41" t="s">
        <v>150</v>
      </c>
      <c r="B41" s="1">
        <v>45715</v>
      </c>
      <c r="C41" t="s">
        <v>108</v>
      </c>
      <c r="D41" t="s">
        <v>109</v>
      </c>
      <c r="E41" t="s">
        <v>23</v>
      </c>
      <c r="F41" t="s">
        <v>117</v>
      </c>
      <c r="G41">
        <v>7</v>
      </c>
      <c r="H41">
        <v>22.27</v>
      </c>
      <c r="I41">
        <v>148.1</v>
      </c>
      <c r="J41">
        <v>0.05</v>
      </c>
      <c r="K41">
        <v>61.99</v>
      </c>
      <c r="L41" s="14">
        <f>sales_data[[#This Row],[Profit]]/sales_data[[#This Row],[Sales]]</f>
        <v>0.41856853477380151</v>
      </c>
      <c r="M41" t="s">
        <v>25</v>
      </c>
      <c r="N41" t="s">
        <v>19</v>
      </c>
    </row>
    <row r="42" spans="1:14" x14ac:dyDescent="0.25">
      <c r="A42" t="s">
        <v>151</v>
      </c>
      <c r="B42" s="1">
        <v>45849</v>
      </c>
      <c r="C42" t="s">
        <v>152</v>
      </c>
      <c r="D42" t="s">
        <v>153</v>
      </c>
      <c r="E42" t="s">
        <v>16</v>
      </c>
      <c r="F42" t="s">
        <v>17</v>
      </c>
      <c r="G42">
        <v>5</v>
      </c>
      <c r="H42">
        <v>743.77</v>
      </c>
      <c r="I42">
        <v>3532.91</v>
      </c>
      <c r="J42">
        <v>0.05</v>
      </c>
      <c r="K42">
        <v>715.65</v>
      </c>
      <c r="L42" s="14">
        <f>sales_data[[#This Row],[Profit]]/sales_data[[#This Row],[Sales]]</f>
        <v>0.20256672261676634</v>
      </c>
      <c r="M42" t="s">
        <v>25</v>
      </c>
      <c r="N42" t="s">
        <v>58</v>
      </c>
    </row>
    <row r="43" spans="1:14" x14ac:dyDescent="0.25">
      <c r="A43" t="s">
        <v>154</v>
      </c>
      <c r="B43" s="1">
        <v>45942</v>
      </c>
      <c r="C43" t="s">
        <v>155</v>
      </c>
      <c r="D43" t="s">
        <v>156</v>
      </c>
      <c r="E43" t="s">
        <v>23</v>
      </c>
      <c r="F43" t="s">
        <v>117</v>
      </c>
      <c r="G43">
        <v>4</v>
      </c>
      <c r="H43">
        <v>6.54</v>
      </c>
      <c r="I43">
        <v>26.16</v>
      </c>
      <c r="J43">
        <v>0</v>
      </c>
      <c r="K43">
        <v>10.84</v>
      </c>
      <c r="L43" s="14">
        <f>sales_data[[#This Row],[Profit]]/sales_data[[#This Row],[Sales]]</f>
        <v>0.41437308868501527</v>
      </c>
      <c r="M43" t="s">
        <v>25</v>
      </c>
      <c r="N43" t="s">
        <v>19</v>
      </c>
    </row>
    <row r="44" spans="1:14" x14ac:dyDescent="0.25">
      <c r="A44" t="s">
        <v>157</v>
      </c>
      <c r="B44" s="1">
        <v>45998</v>
      </c>
      <c r="C44" t="s">
        <v>158</v>
      </c>
      <c r="D44" t="s">
        <v>159</v>
      </c>
      <c r="E44" t="s">
        <v>44</v>
      </c>
      <c r="F44" t="s">
        <v>96</v>
      </c>
      <c r="G44">
        <v>4</v>
      </c>
      <c r="H44">
        <v>146.05000000000001</v>
      </c>
      <c r="I44">
        <v>554.99</v>
      </c>
      <c r="J44">
        <v>0.05</v>
      </c>
      <c r="K44">
        <v>165.41</v>
      </c>
      <c r="L44" s="14">
        <f>sales_data[[#This Row],[Profit]]/sales_data[[#This Row],[Sales]]</f>
        <v>0.29804140615146218</v>
      </c>
      <c r="M44" t="s">
        <v>46</v>
      </c>
      <c r="N44" t="s">
        <v>19</v>
      </c>
    </row>
    <row r="45" spans="1:14" x14ac:dyDescent="0.25">
      <c r="A45" t="s">
        <v>160</v>
      </c>
      <c r="B45" s="1">
        <v>45880</v>
      </c>
      <c r="C45" t="s">
        <v>161</v>
      </c>
      <c r="D45" t="s">
        <v>162</v>
      </c>
      <c r="E45" t="s">
        <v>78</v>
      </c>
      <c r="F45" t="s">
        <v>79</v>
      </c>
      <c r="G45">
        <v>2</v>
      </c>
      <c r="H45">
        <v>168.55</v>
      </c>
      <c r="I45">
        <v>320.24</v>
      </c>
      <c r="J45">
        <v>0.05</v>
      </c>
      <c r="K45">
        <v>119.71</v>
      </c>
      <c r="L45" s="14">
        <f>sales_data[[#This Row],[Profit]]/sales_data[[#This Row],[Sales]]</f>
        <v>0.37381338995753183</v>
      </c>
      <c r="M45" t="s">
        <v>35</v>
      </c>
      <c r="N45" t="s">
        <v>30</v>
      </c>
    </row>
    <row r="46" spans="1:14" x14ac:dyDescent="0.25">
      <c r="A46" t="s">
        <v>163</v>
      </c>
      <c r="B46" s="1">
        <v>45817</v>
      </c>
      <c r="C46" t="s">
        <v>164</v>
      </c>
      <c r="D46" t="s">
        <v>165</v>
      </c>
      <c r="E46" t="s">
        <v>23</v>
      </c>
      <c r="F46" t="s">
        <v>29</v>
      </c>
      <c r="G46">
        <v>4</v>
      </c>
      <c r="H46">
        <v>47.31</v>
      </c>
      <c r="I46">
        <v>179.78</v>
      </c>
      <c r="J46">
        <v>0.05</v>
      </c>
      <c r="K46">
        <v>75.63</v>
      </c>
      <c r="L46" s="14">
        <f>sales_data[[#This Row],[Profit]]/sales_data[[#This Row],[Sales]]</f>
        <v>0.4206808321281566</v>
      </c>
      <c r="M46" t="s">
        <v>35</v>
      </c>
      <c r="N46" t="s">
        <v>19</v>
      </c>
    </row>
    <row r="47" spans="1:14" x14ac:dyDescent="0.25">
      <c r="A47" t="s">
        <v>166</v>
      </c>
      <c r="B47" s="1">
        <v>45925</v>
      </c>
      <c r="C47" t="s">
        <v>101</v>
      </c>
      <c r="D47" t="s">
        <v>102</v>
      </c>
      <c r="E47" t="s">
        <v>44</v>
      </c>
      <c r="F47" t="s">
        <v>51</v>
      </c>
      <c r="G47">
        <v>1</v>
      </c>
      <c r="H47">
        <v>674</v>
      </c>
      <c r="I47">
        <v>572.9</v>
      </c>
      <c r="J47">
        <v>0.15</v>
      </c>
      <c r="K47">
        <v>174.23</v>
      </c>
      <c r="L47" s="14">
        <f>sales_data[[#This Row],[Profit]]/sales_data[[#This Row],[Sales]]</f>
        <v>0.30411939256414733</v>
      </c>
      <c r="M47" t="s">
        <v>35</v>
      </c>
      <c r="N47" t="s">
        <v>30</v>
      </c>
    </row>
    <row r="48" spans="1:14" x14ac:dyDescent="0.25">
      <c r="A48" t="s">
        <v>167</v>
      </c>
      <c r="B48" s="1">
        <v>45910</v>
      </c>
      <c r="C48" t="s">
        <v>168</v>
      </c>
      <c r="D48" t="s">
        <v>169</v>
      </c>
      <c r="E48" t="s">
        <v>16</v>
      </c>
      <c r="F48" t="s">
        <v>89</v>
      </c>
      <c r="G48">
        <v>2</v>
      </c>
      <c r="H48">
        <v>827.53</v>
      </c>
      <c r="I48">
        <v>1655.06</v>
      </c>
      <c r="J48">
        <v>0</v>
      </c>
      <c r="K48">
        <v>331.72</v>
      </c>
      <c r="L48" s="14">
        <f>sales_data[[#This Row],[Profit]]/sales_data[[#This Row],[Sales]]</f>
        <v>0.2004277790533274</v>
      </c>
      <c r="M48" t="s">
        <v>46</v>
      </c>
      <c r="N48" t="s">
        <v>47</v>
      </c>
    </row>
    <row r="49" spans="1:14" x14ac:dyDescent="0.25">
      <c r="A49" t="s">
        <v>170</v>
      </c>
      <c r="B49" s="1">
        <v>45772</v>
      </c>
      <c r="C49" t="s">
        <v>171</v>
      </c>
      <c r="D49" t="s">
        <v>172</v>
      </c>
      <c r="E49" t="s">
        <v>16</v>
      </c>
      <c r="F49" t="s">
        <v>89</v>
      </c>
      <c r="G49">
        <v>7</v>
      </c>
      <c r="H49">
        <v>163.84</v>
      </c>
      <c r="I49">
        <v>1032.19</v>
      </c>
      <c r="J49">
        <v>0.1</v>
      </c>
      <c r="K49">
        <v>197.28</v>
      </c>
      <c r="L49" s="14">
        <f>sales_data[[#This Row],[Profit]]/sales_data[[#This Row],[Sales]]</f>
        <v>0.19112760247628827</v>
      </c>
      <c r="M49" t="s">
        <v>35</v>
      </c>
      <c r="N49" t="s">
        <v>30</v>
      </c>
    </row>
    <row r="50" spans="1:14" x14ac:dyDescent="0.25">
      <c r="A50" t="s">
        <v>173</v>
      </c>
      <c r="B50" s="1">
        <v>45906</v>
      </c>
      <c r="C50" t="s">
        <v>174</v>
      </c>
      <c r="D50" t="s">
        <v>175</v>
      </c>
      <c r="E50" t="s">
        <v>44</v>
      </c>
      <c r="F50" t="s">
        <v>51</v>
      </c>
      <c r="G50">
        <v>2</v>
      </c>
      <c r="H50">
        <v>313.73</v>
      </c>
      <c r="I50">
        <v>564.71</v>
      </c>
      <c r="J50">
        <v>0.1</v>
      </c>
      <c r="K50">
        <v>165.3</v>
      </c>
      <c r="L50" s="14">
        <f>sales_data[[#This Row],[Profit]]/sales_data[[#This Row],[Sales]]</f>
        <v>0.29271661560801121</v>
      </c>
      <c r="M50" t="s">
        <v>18</v>
      </c>
      <c r="N50" t="s">
        <v>30</v>
      </c>
    </row>
    <row r="51" spans="1:14" x14ac:dyDescent="0.25">
      <c r="A51" t="s">
        <v>176</v>
      </c>
      <c r="B51" s="1">
        <v>45925</v>
      </c>
      <c r="C51" t="s">
        <v>177</v>
      </c>
      <c r="D51" t="s">
        <v>178</v>
      </c>
      <c r="E51" t="s">
        <v>16</v>
      </c>
      <c r="F51" t="s">
        <v>17</v>
      </c>
      <c r="G51">
        <v>7</v>
      </c>
      <c r="H51">
        <v>907.27</v>
      </c>
      <c r="I51">
        <v>5715.8</v>
      </c>
      <c r="J51">
        <v>0.1</v>
      </c>
      <c r="K51">
        <v>1182.6300000000001</v>
      </c>
      <c r="L51" s="14">
        <f>sales_data[[#This Row],[Profit]]/sales_data[[#This Row],[Sales]]</f>
        <v>0.20690542006368315</v>
      </c>
      <c r="M51" t="s">
        <v>35</v>
      </c>
      <c r="N51" t="s">
        <v>36</v>
      </c>
    </row>
    <row r="52" spans="1:14" x14ac:dyDescent="0.25">
      <c r="A52" t="s">
        <v>179</v>
      </c>
      <c r="B52" s="1">
        <v>45999</v>
      </c>
      <c r="C52" t="s">
        <v>180</v>
      </c>
      <c r="D52" t="s">
        <v>181</v>
      </c>
      <c r="E52" t="s">
        <v>44</v>
      </c>
      <c r="F52" t="s">
        <v>110</v>
      </c>
      <c r="G52">
        <v>3</v>
      </c>
      <c r="H52">
        <v>96.99</v>
      </c>
      <c r="I52">
        <v>290.97000000000003</v>
      </c>
      <c r="J52">
        <v>0</v>
      </c>
      <c r="K52">
        <v>81.83</v>
      </c>
      <c r="L52" s="14">
        <f>sales_data[[#This Row],[Profit]]/sales_data[[#This Row],[Sales]]</f>
        <v>0.28123174210399693</v>
      </c>
      <c r="M52" t="s">
        <v>18</v>
      </c>
      <c r="N52" t="s">
        <v>30</v>
      </c>
    </row>
    <row r="53" spans="1:14" x14ac:dyDescent="0.25">
      <c r="A53" t="s">
        <v>182</v>
      </c>
      <c r="B53" s="1">
        <v>45863</v>
      </c>
      <c r="C53" t="s">
        <v>183</v>
      </c>
      <c r="D53" t="s">
        <v>184</v>
      </c>
      <c r="E53" t="s">
        <v>16</v>
      </c>
      <c r="F53" t="s">
        <v>40</v>
      </c>
      <c r="G53">
        <v>4</v>
      </c>
      <c r="H53">
        <v>698.79</v>
      </c>
      <c r="I53">
        <v>2515.64</v>
      </c>
      <c r="J53">
        <v>0.1</v>
      </c>
      <c r="K53">
        <v>494.44</v>
      </c>
      <c r="L53" s="14">
        <f>sales_data[[#This Row],[Profit]]/sales_data[[#This Row],[Sales]]</f>
        <v>0.19654640568602821</v>
      </c>
      <c r="M53" t="s">
        <v>18</v>
      </c>
      <c r="N53" t="s">
        <v>30</v>
      </c>
    </row>
    <row r="54" spans="1:14" x14ac:dyDescent="0.25">
      <c r="A54" t="s">
        <v>185</v>
      </c>
      <c r="B54" s="1">
        <v>45710</v>
      </c>
      <c r="C54" t="s">
        <v>186</v>
      </c>
      <c r="D54" t="s">
        <v>187</v>
      </c>
      <c r="E54" t="s">
        <v>16</v>
      </c>
      <c r="F54" t="s">
        <v>34</v>
      </c>
      <c r="G54">
        <v>1</v>
      </c>
      <c r="H54">
        <v>158.32</v>
      </c>
      <c r="I54">
        <v>134.57</v>
      </c>
      <c r="J54">
        <v>0.15</v>
      </c>
      <c r="K54">
        <v>24.33</v>
      </c>
      <c r="L54" s="14">
        <f>sales_data[[#This Row],[Profit]]/sales_data[[#This Row],[Sales]]</f>
        <v>0.18079809764434868</v>
      </c>
      <c r="M54" t="s">
        <v>46</v>
      </c>
      <c r="N54" t="s">
        <v>47</v>
      </c>
    </row>
    <row r="55" spans="1:14" x14ac:dyDescent="0.25">
      <c r="A55" t="s">
        <v>188</v>
      </c>
      <c r="B55" s="1">
        <v>45892</v>
      </c>
      <c r="C55" t="s">
        <v>189</v>
      </c>
      <c r="D55" t="s">
        <v>190</v>
      </c>
      <c r="E55" t="s">
        <v>44</v>
      </c>
      <c r="F55" t="s">
        <v>51</v>
      </c>
      <c r="G55">
        <v>2</v>
      </c>
      <c r="H55">
        <v>679</v>
      </c>
      <c r="I55">
        <v>1222.2</v>
      </c>
      <c r="J55">
        <v>0.1</v>
      </c>
      <c r="K55">
        <v>348.19</v>
      </c>
      <c r="L55" s="14">
        <f>sales_data[[#This Row],[Profit]]/sales_data[[#This Row],[Sales]]</f>
        <v>0.28488790705285549</v>
      </c>
      <c r="M55" t="s">
        <v>35</v>
      </c>
      <c r="N55" t="s">
        <v>19</v>
      </c>
    </row>
    <row r="56" spans="1:14" x14ac:dyDescent="0.25">
      <c r="A56" t="s">
        <v>191</v>
      </c>
      <c r="B56" s="1">
        <v>45825</v>
      </c>
      <c r="C56" t="s">
        <v>192</v>
      </c>
      <c r="D56" t="s">
        <v>193</v>
      </c>
      <c r="E56" t="s">
        <v>78</v>
      </c>
      <c r="F56" t="s">
        <v>194</v>
      </c>
      <c r="G56">
        <v>1</v>
      </c>
      <c r="H56">
        <v>149.36000000000001</v>
      </c>
      <c r="I56">
        <v>134.41999999999999</v>
      </c>
      <c r="J56">
        <v>0.1</v>
      </c>
      <c r="K56">
        <v>52.1</v>
      </c>
      <c r="L56" s="14">
        <f>sales_data[[#This Row],[Profit]]/sales_data[[#This Row],[Sales]]</f>
        <v>0.38759113227198339</v>
      </c>
      <c r="M56" t="s">
        <v>35</v>
      </c>
      <c r="N56" t="s">
        <v>58</v>
      </c>
    </row>
    <row r="57" spans="1:14" x14ac:dyDescent="0.25">
      <c r="A57" t="s">
        <v>195</v>
      </c>
      <c r="B57" s="1">
        <v>45978</v>
      </c>
      <c r="C57" t="s">
        <v>73</v>
      </c>
      <c r="D57" t="s">
        <v>74</v>
      </c>
      <c r="E57" t="s">
        <v>23</v>
      </c>
      <c r="F57" t="s">
        <v>196</v>
      </c>
      <c r="G57">
        <v>4</v>
      </c>
      <c r="H57">
        <v>21.22</v>
      </c>
      <c r="I57">
        <v>72.150000000000006</v>
      </c>
      <c r="J57">
        <v>0.15</v>
      </c>
      <c r="K57">
        <v>30.46</v>
      </c>
      <c r="L57" s="14">
        <f>sales_data[[#This Row],[Profit]]/sales_data[[#This Row],[Sales]]</f>
        <v>0.42217602217602218</v>
      </c>
      <c r="M57" t="s">
        <v>25</v>
      </c>
      <c r="N57" t="s">
        <v>30</v>
      </c>
    </row>
    <row r="58" spans="1:14" x14ac:dyDescent="0.25">
      <c r="A58" t="s">
        <v>197</v>
      </c>
      <c r="B58" s="1">
        <v>46021</v>
      </c>
      <c r="C58" t="s">
        <v>112</v>
      </c>
      <c r="D58" t="s">
        <v>113</v>
      </c>
      <c r="E58" t="s">
        <v>16</v>
      </c>
      <c r="F58" t="s">
        <v>17</v>
      </c>
      <c r="G58">
        <v>7</v>
      </c>
      <c r="H58">
        <v>523.46</v>
      </c>
      <c r="I58">
        <v>3114.59</v>
      </c>
      <c r="J58">
        <v>0.15</v>
      </c>
      <c r="K58">
        <v>643.66999999999996</v>
      </c>
      <c r="L58" s="14">
        <f>sales_data[[#This Row],[Profit]]/sales_data[[#This Row],[Sales]]</f>
        <v>0.20666283523674062</v>
      </c>
      <c r="M58" t="s">
        <v>18</v>
      </c>
      <c r="N58" t="s">
        <v>19</v>
      </c>
    </row>
    <row r="59" spans="1:14" x14ac:dyDescent="0.25">
      <c r="A59" t="s">
        <v>198</v>
      </c>
      <c r="B59" s="1">
        <v>45783</v>
      </c>
      <c r="C59" t="s">
        <v>143</v>
      </c>
      <c r="D59" t="s">
        <v>144</v>
      </c>
      <c r="E59" t="s">
        <v>16</v>
      </c>
      <c r="F59" t="s">
        <v>40</v>
      </c>
      <c r="G59">
        <v>4</v>
      </c>
      <c r="H59">
        <v>164.61</v>
      </c>
      <c r="I59">
        <v>658.44</v>
      </c>
      <c r="J59">
        <v>0</v>
      </c>
      <c r="K59">
        <v>125.45</v>
      </c>
      <c r="L59" s="14">
        <f>sales_data[[#This Row],[Profit]]/sales_data[[#This Row],[Sales]]</f>
        <v>0.19052609197497114</v>
      </c>
      <c r="M59" t="s">
        <v>35</v>
      </c>
      <c r="N59" t="s">
        <v>58</v>
      </c>
    </row>
    <row r="60" spans="1:14" x14ac:dyDescent="0.25">
      <c r="A60" t="s">
        <v>199</v>
      </c>
      <c r="B60" s="1">
        <v>45848</v>
      </c>
      <c r="C60" t="s">
        <v>177</v>
      </c>
      <c r="D60" t="s">
        <v>178</v>
      </c>
      <c r="E60" t="s">
        <v>23</v>
      </c>
      <c r="F60" t="s">
        <v>117</v>
      </c>
      <c r="G60">
        <v>1</v>
      </c>
      <c r="H60">
        <v>69.88</v>
      </c>
      <c r="I60">
        <v>69.88</v>
      </c>
      <c r="J60">
        <v>0</v>
      </c>
      <c r="K60">
        <v>28.73</v>
      </c>
      <c r="L60" s="14">
        <f>sales_data[[#This Row],[Profit]]/sales_data[[#This Row],[Sales]]</f>
        <v>0.41113337149398971</v>
      </c>
      <c r="M60" t="s">
        <v>25</v>
      </c>
      <c r="N60" t="s">
        <v>19</v>
      </c>
    </row>
    <row r="61" spans="1:14" x14ac:dyDescent="0.25">
      <c r="A61" t="s">
        <v>200</v>
      </c>
      <c r="B61" s="1">
        <v>45960</v>
      </c>
      <c r="C61" t="s">
        <v>201</v>
      </c>
      <c r="D61" t="s">
        <v>202</v>
      </c>
      <c r="E61" t="s">
        <v>78</v>
      </c>
      <c r="F61" t="s">
        <v>194</v>
      </c>
      <c r="G61">
        <v>6</v>
      </c>
      <c r="H61">
        <v>167.04</v>
      </c>
      <c r="I61">
        <v>851.9</v>
      </c>
      <c r="J61">
        <v>0.15</v>
      </c>
      <c r="K61">
        <v>325.77999999999997</v>
      </c>
      <c r="L61" s="14">
        <f>sales_data[[#This Row],[Profit]]/sales_data[[#This Row],[Sales]]</f>
        <v>0.38241577649958913</v>
      </c>
      <c r="M61" t="s">
        <v>18</v>
      </c>
      <c r="N61" t="s">
        <v>30</v>
      </c>
    </row>
    <row r="62" spans="1:14" x14ac:dyDescent="0.25">
      <c r="A62" t="s">
        <v>203</v>
      </c>
      <c r="B62" s="1">
        <v>45962</v>
      </c>
      <c r="C62" t="s">
        <v>66</v>
      </c>
      <c r="D62" t="s">
        <v>67</v>
      </c>
      <c r="E62" t="s">
        <v>16</v>
      </c>
      <c r="F62" t="s">
        <v>71</v>
      </c>
      <c r="G62">
        <v>7</v>
      </c>
      <c r="H62">
        <v>559.09</v>
      </c>
      <c r="I62">
        <v>3522.27</v>
      </c>
      <c r="J62">
        <v>0.1</v>
      </c>
      <c r="K62">
        <v>677.93</v>
      </c>
      <c r="L62" s="14">
        <f>sales_data[[#This Row],[Profit]]/sales_data[[#This Row],[Sales]]</f>
        <v>0.19246962896086897</v>
      </c>
      <c r="M62" t="s">
        <v>25</v>
      </c>
      <c r="N62" t="s">
        <v>36</v>
      </c>
    </row>
    <row r="63" spans="1:14" x14ac:dyDescent="0.25">
      <c r="A63" t="s">
        <v>204</v>
      </c>
      <c r="B63" s="1">
        <v>45881</v>
      </c>
      <c r="C63" t="s">
        <v>98</v>
      </c>
      <c r="D63" t="s">
        <v>99</v>
      </c>
      <c r="E63" t="s">
        <v>78</v>
      </c>
      <c r="F63" t="s">
        <v>205</v>
      </c>
      <c r="G63">
        <v>6</v>
      </c>
      <c r="H63">
        <v>86.37</v>
      </c>
      <c r="I63">
        <v>466.4</v>
      </c>
      <c r="J63">
        <v>0.1</v>
      </c>
      <c r="K63">
        <v>178.01</v>
      </c>
      <c r="L63" s="14">
        <f>sales_data[[#This Row],[Profit]]/sales_data[[#This Row],[Sales]]</f>
        <v>0.38166809605488849</v>
      </c>
      <c r="M63" t="s">
        <v>25</v>
      </c>
      <c r="N63" t="s">
        <v>30</v>
      </c>
    </row>
    <row r="64" spans="1:14" x14ac:dyDescent="0.25">
      <c r="A64" t="s">
        <v>206</v>
      </c>
      <c r="B64" s="1">
        <v>45973</v>
      </c>
      <c r="C64" t="s">
        <v>139</v>
      </c>
      <c r="D64" t="s">
        <v>140</v>
      </c>
      <c r="E64" t="s">
        <v>44</v>
      </c>
      <c r="F64" t="s">
        <v>96</v>
      </c>
      <c r="G64">
        <v>4</v>
      </c>
      <c r="H64">
        <v>82.08</v>
      </c>
      <c r="I64">
        <v>262.66000000000003</v>
      </c>
      <c r="J64">
        <v>0.2</v>
      </c>
      <c r="K64">
        <v>73.650000000000006</v>
      </c>
      <c r="L64" s="14">
        <f>sales_data[[#This Row],[Profit]]/sales_data[[#This Row],[Sales]]</f>
        <v>0.28040051777963909</v>
      </c>
      <c r="M64" t="s">
        <v>46</v>
      </c>
      <c r="N64" t="s">
        <v>36</v>
      </c>
    </row>
    <row r="65" spans="1:14" x14ac:dyDescent="0.25">
      <c r="A65" t="s">
        <v>207</v>
      </c>
      <c r="B65" s="1">
        <v>45869</v>
      </c>
      <c r="C65" t="s">
        <v>208</v>
      </c>
      <c r="D65" t="s">
        <v>209</v>
      </c>
      <c r="E65" t="s">
        <v>16</v>
      </c>
      <c r="F65" t="s">
        <v>17</v>
      </c>
      <c r="G65">
        <v>4</v>
      </c>
      <c r="H65">
        <v>343.38</v>
      </c>
      <c r="I65">
        <v>1373.52</v>
      </c>
      <c r="J65">
        <v>0</v>
      </c>
      <c r="K65">
        <v>285.3</v>
      </c>
      <c r="L65" s="14">
        <f>sales_data[[#This Row],[Profit]]/sales_data[[#This Row],[Sales]]</f>
        <v>0.20771448540975015</v>
      </c>
      <c r="M65" t="s">
        <v>46</v>
      </c>
      <c r="N65" t="s">
        <v>47</v>
      </c>
    </row>
    <row r="66" spans="1:14" x14ac:dyDescent="0.25">
      <c r="A66" t="s">
        <v>210</v>
      </c>
      <c r="B66" s="1">
        <v>45960</v>
      </c>
      <c r="C66" t="s">
        <v>115</v>
      </c>
      <c r="D66" t="s">
        <v>116</v>
      </c>
      <c r="E66" t="s">
        <v>44</v>
      </c>
      <c r="F66" t="s">
        <v>51</v>
      </c>
      <c r="G66">
        <v>2</v>
      </c>
      <c r="H66">
        <v>85.44</v>
      </c>
      <c r="I66">
        <v>145.25</v>
      </c>
      <c r="J66">
        <v>0.15</v>
      </c>
      <c r="K66">
        <v>42.62</v>
      </c>
      <c r="L66" s="14">
        <f>sales_data[[#This Row],[Profit]]/sales_data[[#This Row],[Sales]]</f>
        <v>0.29342512908777968</v>
      </c>
      <c r="M66" t="s">
        <v>35</v>
      </c>
      <c r="N66" t="s">
        <v>36</v>
      </c>
    </row>
    <row r="67" spans="1:14" x14ac:dyDescent="0.25">
      <c r="A67" t="s">
        <v>211</v>
      </c>
      <c r="B67" s="1">
        <v>45881</v>
      </c>
      <c r="C67" t="s">
        <v>212</v>
      </c>
      <c r="D67" t="s">
        <v>213</v>
      </c>
      <c r="E67" t="s">
        <v>23</v>
      </c>
      <c r="F67" t="s">
        <v>29</v>
      </c>
      <c r="G67">
        <v>1</v>
      </c>
      <c r="H67">
        <v>32.01</v>
      </c>
      <c r="I67">
        <v>28.81</v>
      </c>
      <c r="J67">
        <v>0.1</v>
      </c>
      <c r="K67">
        <v>12.34</v>
      </c>
      <c r="L67" s="14">
        <f>sales_data[[#This Row],[Profit]]/sales_data[[#This Row],[Sales]]</f>
        <v>0.42832349878514409</v>
      </c>
      <c r="M67" t="s">
        <v>18</v>
      </c>
      <c r="N67" t="s">
        <v>58</v>
      </c>
    </row>
    <row r="68" spans="1:14" x14ac:dyDescent="0.25">
      <c r="A68" t="s">
        <v>214</v>
      </c>
      <c r="B68" s="1">
        <v>45755</v>
      </c>
      <c r="C68" t="s">
        <v>171</v>
      </c>
      <c r="D68" t="s">
        <v>172</v>
      </c>
      <c r="E68" t="s">
        <v>44</v>
      </c>
      <c r="F68" t="s">
        <v>110</v>
      </c>
      <c r="G68">
        <v>3</v>
      </c>
      <c r="H68">
        <v>119.68</v>
      </c>
      <c r="I68">
        <v>359.04</v>
      </c>
      <c r="J68">
        <v>0</v>
      </c>
      <c r="K68">
        <v>110.49</v>
      </c>
      <c r="L68" s="14">
        <f>sales_data[[#This Row],[Profit]]/sales_data[[#This Row],[Sales]]</f>
        <v>0.30773729946524059</v>
      </c>
      <c r="M68" t="s">
        <v>25</v>
      </c>
      <c r="N68" t="s">
        <v>36</v>
      </c>
    </row>
    <row r="69" spans="1:14" x14ac:dyDescent="0.25">
      <c r="A69" t="s">
        <v>215</v>
      </c>
      <c r="B69" s="1">
        <v>46015</v>
      </c>
      <c r="C69" t="s">
        <v>216</v>
      </c>
      <c r="D69" t="s">
        <v>217</v>
      </c>
      <c r="E69" t="s">
        <v>44</v>
      </c>
      <c r="F69" t="s">
        <v>51</v>
      </c>
      <c r="G69">
        <v>5</v>
      </c>
      <c r="H69">
        <v>422.05</v>
      </c>
      <c r="I69">
        <v>1899.22</v>
      </c>
      <c r="J69">
        <v>0.1</v>
      </c>
      <c r="K69">
        <v>545.62</v>
      </c>
      <c r="L69" s="14">
        <f>sales_data[[#This Row],[Profit]]/sales_data[[#This Row],[Sales]]</f>
        <v>0.28728635966344079</v>
      </c>
      <c r="M69" t="s">
        <v>18</v>
      </c>
      <c r="N69" t="s">
        <v>36</v>
      </c>
    </row>
    <row r="70" spans="1:14" x14ac:dyDescent="0.25">
      <c r="A70" t="s">
        <v>218</v>
      </c>
      <c r="B70" s="1">
        <v>45658</v>
      </c>
      <c r="C70" t="s">
        <v>219</v>
      </c>
      <c r="D70" t="s">
        <v>220</v>
      </c>
      <c r="E70" t="s">
        <v>16</v>
      </c>
      <c r="F70" t="s">
        <v>71</v>
      </c>
      <c r="G70">
        <v>5</v>
      </c>
      <c r="H70">
        <v>737.26</v>
      </c>
      <c r="I70">
        <v>3686.3</v>
      </c>
      <c r="J70">
        <v>0</v>
      </c>
      <c r="K70">
        <v>699.84</v>
      </c>
      <c r="L70" s="14">
        <f>sales_data[[#This Row],[Profit]]/sales_data[[#This Row],[Sales]]</f>
        <v>0.18984889998101076</v>
      </c>
      <c r="M70" t="s">
        <v>25</v>
      </c>
      <c r="N70" t="s">
        <v>47</v>
      </c>
    </row>
    <row r="71" spans="1:14" x14ac:dyDescent="0.25">
      <c r="A71" t="s">
        <v>221</v>
      </c>
      <c r="B71" s="1">
        <v>45907</v>
      </c>
      <c r="C71" t="s">
        <v>222</v>
      </c>
      <c r="D71" t="s">
        <v>223</v>
      </c>
      <c r="E71" t="s">
        <v>16</v>
      </c>
      <c r="F71" t="s">
        <v>89</v>
      </c>
      <c r="G71">
        <v>6</v>
      </c>
      <c r="H71">
        <v>932.47</v>
      </c>
      <c r="I71">
        <v>5315.08</v>
      </c>
      <c r="J71">
        <v>0.05</v>
      </c>
      <c r="K71">
        <v>980.28</v>
      </c>
      <c r="L71" s="14">
        <f>sales_data[[#This Row],[Profit]]/sales_data[[#This Row],[Sales]]</f>
        <v>0.18443372442183373</v>
      </c>
      <c r="M71" t="s">
        <v>46</v>
      </c>
      <c r="N71" t="s">
        <v>30</v>
      </c>
    </row>
    <row r="72" spans="1:14" x14ac:dyDescent="0.25">
      <c r="A72" t="s">
        <v>224</v>
      </c>
      <c r="B72" s="1">
        <v>45970</v>
      </c>
      <c r="C72" t="s">
        <v>225</v>
      </c>
      <c r="D72" t="s">
        <v>226</v>
      </c>
      <c r="E72" t="s">
        <v>44</v>
      </c>
      <c r="F72" t="s">
        <v>127</v>
      </c>
      <c r="G72">
        <v>7</v>
      </c>
      <c r="H72">
        <v>49.28</v>
      </c>
      <c r="I72">
        <v>310.45999999999998</v>
      </c>
      <c r="J72">
        <v>0.1</v>
      </c>
      <c r="K72">
        <v>90.47</v>
      </c>
      <c r="L72" s="14">
        <f>sales_data[[#This Row],[Profit]]/sales_data[[#This Row],[Sales]]</f>
        <v>0.29140630032854475</v>
      </c>
      <c r="M72" t="s">
        <v>46</v>
      </c>
      <c r="N72" t="s">
        <v>58</v>
      </c>
    </row>
    <row r="73" spans="1:14" x14ac:dyDescent="0.25">
      <c r="A73" t="s">
        <v>227</v>
      </c>
      <c r="B73" s="1">
        <v>45883</v>
      </c>
      <c r="C73" t="s">
        <v>228</v>
      </c>
      <c r="D73" t="s">
        <v>229</v>
      </c>
      <c r="E73" t="s">
        <v>16</v>
      </c>
      <c r="F73" t="s">
        <v>40</v>
      </c>
      <c r="G73">
        <v>2</v>
      </c>
      <c r="H73">
        <v>718.15</v>
      </c>
      <c r="I73">
        <v>1364.48</v>
      </c>
      <c r="J73">
        <v>0.05</v>
      </c>
      <c r="K73">
        <v>268.63</v>
      </c>
      <c r="L73" s="14">
        <f>sales_data[[#This Row],[Profit]]/sales_data[[#This Row],[Sales]]</f>
        <v>0.19687353424015008</v>
      </c>
      <c r="M73" t="s">
        <v>18</v>
      </c>
      <c r="N73" t="s">
        <v>47</v>
      </c>
    </row>
    <row r="74" spans="1:14" x14ac:dyDescent="0.25">
      <c r="A74" t="s">
        <v>230</v>
      </c>
      <c r="B74" s="1">
        <v>45992</v>
      </c>
      <c r="C74" t="s">
        <v>76</v>
      </c>
      <c r="D74" t="s">
        <v>77</v>
      </c>
      <c r="E74" t="s">
        <v>16</v>
      </c>
      <c r="F74" t="s">
        <v>71</v>
      </c>
      <c r="G74">
        <v>7</v>
      </c>
      <c r="H74">
        <v>640.23</v>
      </c>
      <c r="I74">
        <v>4033.45</v>
      </c>
      <c r="J74">
        <v>0.1</v>
      </c>
      <c r="K74">
        <v>750.65</v>
      </c>
      <c r="L74" s="14">
        <f>sales_data[[#This Row],[Profit]]/sales_data[[#This Row],[Sales]]</f>
        <v>0.18610618701111953</v>
      </c>
      <c r="M74" t="s">
        <v>46</v>
      </c>
      <c r="N74" t="s">
        <v>36</v>
      </c>
    </row>
    <row r="75" spans="1:14" x14ac:dyDescent="0.25">
      <c r="A75" t="s">
        <v>231</v>
      </c>
      <c r="B75" s="1">
        <v>45997</v>
      </c>
      <c r="C75" t="s">
        <v>232</v>
      </c>
      <c r="D75" t="s">
        <v>233</v>
      </c>
      <c r="E75" t="s">
        <v>44</v>
      </c>
      <c r="F75" t="s">
        <v>45</v>
      </c>
      <c r="G75">
        <v>5</v>
      </c>
      <c r="H75">
        <v>686.62</v>
      </c>
      <c r="I75">
        <v>3261.44</v>
      </c>
      <c r="J75">
        <v>0.05</v>
      </c>
      <c r="K75">
        <v>978.88</v>
      </c>
      <c r="L75" s="14">
        <f>sales_data[[#This Row],[Profit]]/sales_data[[#This Row],[Sales]]</f>
        <v>0.30013736263736263</v>
      </c>
      <c r="M75" t="s">
        <v>18</v>
      </c>
      <c r="N75" t="s">
        <v>58</v>
      </c>
    </row>
    <row r="76" spans="1:14" x14ac:dyDescent="0.25">
      <c r="A76" t="s">
        <v>234</v>
      </c>
      <c r="B76" s="1">
        <v>45768</v>
      </c>
      <c r="C76" t="s">
        <v>186</v>
      </c>
      <c r="D76" t="s">
        <v>187</v>
      </c>
      <c r="E76" t="s">
        <v>16</v>
      </c>
      <c r="F76" t="s">
        <v>34</v>
      </c>
      <c r="G76">
        <v>7</v>
      </c>
      <c r="H76">
        <v>712.1</v>
      </c>
      <c r="I76">
        <v>4735.46</v>
      </c>
      <c r="J76">
        <v>0.05</v>
      </c>
      <c r="K76">
        <v>895.33</v>
      </c>
      <c r="L76" s="14">
        <f>sales_data[[#This Row],[Profit]]/sales_data[[#This Row],[Sales]]</f>
        <v>0.18906927732469497</v>
      </c>
      <c r="M76" t="s">
        <v>25</v>
      </c>
      <c r="N76" t="s">
        <v>30</v>
      </c>
    </row>
    <row r="77" spans="1:14" x14ac:dyDescent="0.25">
      <c r="A77" t="s">
        <v>235</v>
      </c>
      <c r="B77" s="1">
        <v>46009</v>
      </c>
      <c r="C77" t="s">
        <v>101</v>
      </c>
      <c r="D77" t="s">
        <v>102</v>
      </c>
      <c r="E77" t="s">
        <v>16</v>
      </c>
      <c r="F77" t="s">
        <v>34</v>
      </c>
      <c r="G77">
        <v>3</v>
      </c>
      <c r="H77">
        <v>809.38</v>
      </c>
      <c r="I77">
        <v>2428.14</v>
      </c>
      <c r="J77">
        <v>0</v>
      </c>
      <c r="K77">
        <v>495.9</v>
      </c>
      <c r="L77" s="14">
        <f>sales_data[[#This Row],[Profit]]/sales_data[[#This Row],[Sales]]</f>
        <v>0.20423039857668834</v>
      </c>
      <c r="M77" t="s">
        <v>18</v>
      </c>
      <c r="N77" t="s">
        <v>19</v>
      </c>
    </row>
    <row r="78" spans="1:14" x14ac:dyDescent="0.25">
      <c r="A78" t="s">
        <v>236</v>
      </c>
      <c r="B78" s="1">
        <v>45827</v>
      </c>
      <c r="C78" t="s">
        <v>237</v>
      </c>
      <c r="D78" t="s">
        <v>238</v>
      </c>
      <c r="E78" t="s">
        <v>16</v>
      </c>
      <c r="F78" t="s">
        <v>40</v>
      </c>
      <c r="G78">
        <v>6</v>
      </c>
      <c r="H78">
        <v>129.22999999999999</v>
      </c>
      <c r="I78">
        <v>775.38</v>
      </c>
      <c r="J78">
        <v>0</v>
      </c>
      <c r="K78">
        <v>152.11000000000001</v>
      </c>
      <c r="L78" s="14">
        <f>sales_data[[#This Row],[Profit]]/sales_data[[#This Row],[Sales]]</f>
        <v>0.19617477881812789</v>
      </c>
      <c r="M78" t="s">
        <v>46</v>
      </c>
      <c r="N78" t="s">
        <v>47</v>
      </c>
    </row>
    <row r="79" spans="1:14" x14ac:dyDescent="0.25">
      <c r="A79" t="s">
        <v>239</v>
      </c>
      <c r="B79" s="1">
        <v>45958</v>
      </c>
      <c r="C79" t="s">
        <v>136</v>
      </c>
      <c r="D79" t="s">
        <v>137</v>
      </c>
      <c r="E79" t="s">
        <v>16</v>
      </c>
      <c r="F79" t="s">
        <v>89</v>
      </c>
      <c r="G79">
        <v>1</v>
      </c>
      <c r="H79">
        <v>133.44</v>
      </c>
      <c r="I79">
        <v>126.77</v>
      </c>
      <c r="J79">
        <v>0.05</v>
      </c>
      <c r="K79">
        <v>24.01</v>
      </c>
      <c r="L79" s="14">
        <f>sales_data[[#This Row],[Profit]]/sales_data[[#This Row],[Sales]]</f>
        <v>0.18939812258420763</v>
      </c>
      <c r="M79" t="s">
        <v>25</v>
      </c>
      <c r="N79" t="s">
        <v>58</v>
      </c>
    </row>
    <row r="80" spans="1:14" x14ac:dyDescent="0.25">
      <c r="A80" t="s">
        <v>240</v>
      </c>
      <c r="B80" s="1">
        <v>45994</v>
      </c>
      <c r="C80" t="s">
        <v>241</v>
      </c>
      <c r="D80" t="s">
        <v>242</v>
      </c>
      <c r="E80" t="s">
        <v>78</v>
      </c>
      <c r="F80" t="s">
        <v>194</v>
      </c>
      <c r="G80">
        <v>4</v>
      </c>
      <c r="H80">
        <v>146.66999999999999</v>
      </c>
      <c r="I80">
        <v>528.01</v>
      </c>
      <c r="J80">
        <v>0.1</v>
      </c>
      <c r="K80">
        <v>203</v>
      </c>
      <c r="L80" s="14">
        <f>sales_data[[#This Row],[Profit]]/sales_data[[#This Row],[Sales]]</f>
        <v>0.38446241548455523</v>
      </c>
      <c r="M80" t="s">
        <v>18</v>
      </c>
      <c r="N80" t="s">
        <v>47</v>
      </c>
    </row>
    <row r="81" spans="1:14" x14ac:dyDescent="0.25">
      <c r="A81" t="s">
        <v>243</v>
      </c>
      <c r="B81" s="1">
        <v>46022</v>
      </c>
      <c r="C81" t="s">
        <v>241</v>
      </c>
      <c r="D81" t="s">
        <v>242</v>
      </c>
      <c r="E81" t="s">
        <v>23</v>
      </c>
      <c r="F81" t="s">
        <v>29</v>
      </c>
      <c r="G81">
        <v>6</v>
      </c>
      <c r="H81">
        <v>14.38</v>
      </c>
      <c r="I81">
        <v>86.28</v>
      </c>
      <c r="J81">
        <v>0</v>
      </c>
      <c r="K81">
        <v>36.18</v>
      </c>
      <c r="L81" s="14">
        <f>sales_data[[#This Row],[Profit]]/sales_data[[#This Row],[Sales]]</f>
        <v>0.41933240611961053</v>
      </c>
      <c r="M81" t="s">
        <v>18</v>
      </c>
      <c r="N81" t="s">
        <v>58</v>
      </c>
    </row>
    <row r="82" spans="1:14" x14ac:dyDescent="0.25">
      <c r="A82" t="s">
        <v>244</v>
      </c>
      <c r="B82" s="1">
        <v>45931</v>
      </c>
      <c r="C82" t="s">
        <v>228</v>
      </c>
      <c r="D82" t="s">
        <v>229</v>
      </c>
      <c r="E82" t="s">
        <v>44</v>
      </c>
      <c r="F82" t="s">
        <v>51</v>
      </c>
      <c r="G82">
        <v>3</v>
      </c>
      <c r="H82">
        <v>296.10000000000002</v>
      </c>
      <c r="I82">
        <v>888.3</v>
      </c>
      <c r="J82">
        <v>0</v>
      </c>
      <c r="K82">
        <v>255.72</v>
      </c>
      <c r="L82" s="14">
        <f>sales_data[[#This Row],[Profit]]/sales_data[[#This Row],[Sales]]</f>
        <v>0.28787571766295172</v>
      </c>
      <c r="M82" t="s">
        <v>25</v>
      </c>
      <c r="N82" t="s">
        <v>47</v>
      </c>
    </row>
    <row r="83" spans="1:14" x14ac:dyDescent="0.25">
      <c r="A83" t="s">
        <v>245</v>
      </c>
      <c r="B83" s="1">
        <v>45888</v>
      </c>
      <c r="C83" t="s">
        <v>73</v>
      </c>
      <c r="D83" t="s">
        <v>74</v>
      </c>
      <c r="E83" t="s">
        <v>44</v>
      </c>
      <c r="F83" t="s">
        <v>110</v>
      </c>
      <c r="G83">
        <v>2</v>
      </c>
      <c r="H83">
        <v>388.67</v>
      </c>
      <c r="I83">
        <v>777.34</v>
      </c>
      <c r="J83">
        <v>0</v>
      </c>
      <c r="K83">
        <v>232.98</v>
      </c>
      <c r="L83" s="14">
        <f>sales_data[[#This Row],[Profit]]/sales_data[[#This Row],[Sales]]</f>
        <v>0.2997144106825842</v>
      </c>
      <c r="M83" t="s">
        <v>35</v>
      </c>
      <c r="N83" t="s">
        <v>30</v>
      </c>
    </row>
    <row r="84" spans="1:14" x14ac:dyDescent="0.25">
      <c r="A84" t="s">
        <v>246</v>
      </c>
      <c r="B84" s="1">
        <v>45766</v>
      </c>
      <c r="C84" t="s">
        <v>49</v>
      </c>
      <c r="D84" t="s">
        <v>50</v>
      </c>
      <c r="E84" t="s">
        <v>16</v>
      </c>
      <c r="F84" t="s">
        <v>71</v>
      </c>
      <c r="G84">
        <v>7</v>
      </c>
      <c r="H84">
        <v>711.43</v>
      </c>
      <c r="I84">
        <v>4482.01</v>
      </c>
      <c r="J84">
        <v>0.1</v>
      </c>
      <c r="K84">
        <v>866.23</v>
      </c>
      <c r="L84" s="14">
        <f>sales_data[[#This Row],[Profit]]/sales_data[[#This Row],[Sales]]</f>
        <v>0.19326819886613372</v>
      </c>
      <c r="M84" t="s">
        <v>25</v>
      </c>
      <c r="N84" t="s">
        <v>36</v>
      </c>
    </row>
    <row r="85" spans="1:14" x14ac:dyDescent="0.25">
      <c r="A85" t="s">
        <v>247</v>
      </c>
      <c r="B85" s="1">
        <v>45758</v>
      </c>
      <c r="C85" t="s">
        <v>248</v>
      </c>
      <c r="D85" t="s">
        <v>249</v>
      </c>
      <c r="E85" t="s">
        <v>44</v>
      </c>
      <c r="F85" t="s">
        <v>96</v>
      </c>
      <c r="G85">
        <v>4</v>
      </c>
      <c r="H85">
        <v>462.76</v>
      </c>
      <c r="I85">
        <v>1665.94</v>
      </c>
      <c r="J85">
        <v>0.1</v>
      </c>
      <c r="K85">
        <v>498.64</v>
      </c>
      <c r="L85" s="14">
        <f>sales_data[[#This Row],[Profit]]/sales_data[[#This Row],[Sales]]</f>
        <v>0.29931450112248936</v>
      </c>
      <c r="M85" t="s">
        <v>35</v>
      </c>
      <c r="N85" t="s">
        <v>19</v>
      </c>
    </row>
    <row r="86" spans="1:14" x14ac:dyDescent="0.25">
      <c r="A86" t="s">
        <v>250</v>
      </c>
      <c r="B86" s="1">
        <v>45807</v>
      </c>
      <c r="C86" t="s">
        <v>201</v>
      </c>
      <c r="D86" t="s">
        <v>202</v>
      </c>
      <c r="E86" t="s">
        <v>78</v>
      </c>
      <c r="F86" t="s">
        <v>194</v>
      </c>
      <c r="G86">
        <v>6</v>
      </c>
      <c r="H86">
        <v>70.84</v>
      </c>
      <c r="I86">
        <v>403.79</v>
      </c>
      <c r="J86">
        <v>0.05</v>
      </c>
      <c r="K86">
        <v>147.16999999999999</v>
      </c>
      <c r="L86" s="14">
        <f>sales_data[[#This Row],[Profit]]/sales_data[[#This Row],[Sales]]</f>
        <v>0.36447163129349408</v>
      </c>
      <c r="M86" t="s">
        <v>46</v>
      </c>
      <c r="N86" t="s">
        <v>36</v>
      </c>
    </row>
    <row r="87" spans="1:14" x14ac:dyDescent="0.25">
      <c r="A87" t="s">
        <v>251</v>
      </c>
      <c r="B87" s="1">
        <v>45688</v>
      </c>
      <c r="C87" t="s">
        <v>147</v>
      </c>
      <c r="D87" t="s">
        <v>148</v>
      </c>
      <c r="E87" t="s">
        <v>16</v>
      </c>
      <c r="F87" t="s">
        <v>34</v>
      </c>
      <c r="G87">
        <v>5</v>
      </c>
      <c r="H87">
        <v>1179.29</v>
      </c>
      <c r="I87">
        <v>5896.45</v>
      </c>
      <c r="J87">
        <v>0</v>
      </c>
      <c r="K87">
        <v>1167.8800000000001</v>
      </c>
      <c r="L87" s="14">
        <f>sales_data[[#This Row],[Profit]]/sales_data[[#This Row],[Sales]]</f>
        <v>0.19806493737757466</v>
      </c>
      <c r="M87" t="s">
        <v>25</v>
      </c>
      <c r="N87" t="s">
        <v>58</v>
      </c>
    </row>
    <row r="88" spans="1:14" x14ac:dyDescent="0.25">
      <c r="A88" t="s">
        <v>252</v>
      </c>
      <c r="B88" s="1">
        <v>45751</v>
      </c>
      <c r="C88" t="s">
        <v>253</v>
      </c>
      <c r="D88" t="s">
        <v>254</v>
      </c>
      <c r="E88" t="s">
        <v>78</v>
      </c>
      <c r="F88" t="s">
        <v>255</v>
      </c>
      <c r="G88">
        <v>6</v>
      </c>
      <c r="H88">
        <v>123.01</v>
      </c>
      <c r="I88">
        <v>627.35</v>
      </c>
      <c r="J88">
        <v>0.15</v>
      </c>
      <c r="K88">
        <v>234.19</v>
      </c>
      <c r="L88" s="14">
        <f>sales_data[[#This Row],[Profit]]/sales_data[[#This Row],[Sales]]</f>
        <v>0.37330039053160119</v>
      </c>
      <c r="M88" t="s">
        <v>25</v>
      </c>
      <c r="N88" t="s">
        <v>47</v>
      </c>
    </row>
    <row r="89" spans="1:14" x14ac:dyDescent="0.25">
      <c r="A89" t="s">
        <v>256</v>
      </c>
      <c r="B89" s="1">
        <v>45790</v>
      </c>
      <c r="C89" t="s">
        <v>94</v>
      </c>
      <c r="D89" t="s">
        <v>95</v>
      </c>
      <c r="E89" t="s">
        <v>16</v>
      </c>
      <c r="F89" t="s">
        <v>40</v>
      </c>
      <c r="G89">
        <v>2</v>
      </c>
      <c r="H89">
        <v>405.32</v>
      </c>
      <c r="I89">
        <v>770.11</v>
      </c>
      <c r="J89">
        <v>0.05</v>
      </c>
      <c r="K89">
        <v>150</v>
      </c>
      <c r="L89" s="14">
        <f>sales_data[[#This Row],[Profit]]/sales_data[[#This Row],[Sales]]</f>
        <v>0.19477736946669955</v>
      </c>
      <c r="M89" t="s">
        <v>35</v>
      </c>
      <c r="N89" t="s">
        <v>30</v>
      </c>
    </row>
    <row r="90" spans="1:14" x14ac:dyDescent="0.25">
      <c r="A90" t="s">
        <v>257</v>
      </c>
      <c r="B90" s="1">
        <v>45799</v>
      </c>
      <c r="C90" t="s">
        <v>258</v>
      </c>
      <c r="D90" t="s">
        <v>259</v>
      </c>
      <c r="E90" t="s">
        <v>16</v>
      </c>
      <c r="F90" t="s">
        <v>89</v>
      </c>
      <c r="G90">
        <v>6</v>
      </c>
      <c r="H90">
        <v>707.95</v>
      </c>
      <c r="I90">
        <v>4247.7</v>
      </c>
      <c r="J90">
        <v>0</v>
      </c>
      <c r="K90">
        <v>830.7</v>
      </c>
      <c r="L90" s="14">
        <f>sales_data[[#This Row],[Profit]]/sales_data[[#This Row],[Sales]]</f>
        <v>0.19556465852108201</v>
      </c>
      <c r="M90" t="s">
        <v>18</v>
      </c>
      <c r="N90" t="s">
        <v>58</v>
      </c>
    </row>
    <row r="91" spans="1:14" x14ac:dyDescent="0.25">
      <c r="A91" t="s">
        <v>260</v>
      </c>
      <c r="B91" s="1">
        <v>45667</v>
      </c>
      <c r="C91" t="s">
        <v>60</v>
      </c>
      <c r="D91" t="s">
        <v>61</v>
      </c>
      <c r="E91" t="s">
        <v>16</v>
      </c>
      <c r="F91" t="s">
        <v>89</v>
      </c>
      <c r="G91">
        <v>7</v>
      </c>
      <c r="H91">
        <v>669.98</v>
      </c>
      <c r="I91">
        <v>4689.8599999999997</v>
      </c>
      <c r="J91">
        <v>0</v>
      </c>
      <c r="K91">
        <v>888.55</v>
      </c>
      <c r="L91" s="14">
        <f>sales_data[[#This Row],[Profit]]/sales_data[[#This Row],[Sales]]</f>
        <v>0.1894619455591425</v>
      </c>
      <c r="M91" t="s">
        <v>25</v>
      </c>
      <c r="N91" t="s">
        <v>36</v>
      </c>
    </row>
    <row r="92" spans="1:14" x14ac:dyDescent="0.25">
      <c r="A92" t="s">
        <v>261</v>
      </c>
      <c r="B92" s="1">
        <v>45930</v>
      </c>
      <c r="C92" t="s">
        <v>262</v>
      </c>
      <c r="D92" t="s">
        <v>263</v>
      </c>
      <c r="E92" t="s">
        <v>16</v>
      </c>
      <c r="F92" t="s">
        <v>71</v>
      </c>
      <c r="G92">
        <v>3</v>
      </c>
      <c r="H92">
        <v>580.97</v>
      </c>
      <c r="I92">
        <v>1568.62</v>
      </c>
      <c r="J92">
        <v>0.1</v>
      </c>
      <c r="K92">
        <v>292.02999999999997</v>
      </c>
      <c r="L92" s="14">
        <f>sales_data[[#This Row],[Profit]]/sales_data[[#This Row],[Sales]]</f>
        <v>0.18617000930754421</v>
      </c>
      <c r="M92" t="s">
        <v>18</v>
      </c>
      <c r="N92" t="s">
        <v>36</v>
      </c>
    </row>
    <row r="93" spans="1:14" x14ac:dyDescent="0.25">
      <c r="A93" t="s">
        <v>264</v>
      </c>
      <c r="B93" s="1">
        <v>45893</v>
      </c>
      <c r="C93" t="s">
        <v>139</v>
      </c>
      <c r="D93" t="s">
        <v>140</v>
      </c>
      <c r="E93" t="s">
        <v>78</v>
      </c>
      <c r="F93" t="s">
        <v>79</v>
      </c>
      <c r="G93">
        <v>6</v>
      </c>
      <c r="H93">
        <v>168.47</v>
      </c>
      <c r="I93">
        <v>808.66</v>
      </c>
      <c r="J93">
        <v>0.2</v>
      </c>
      <c r="K93">
        <v>310.39999999999998</v>
      </c>
      <c r="L93" s="14">
        <f>sales_data[[#This Row],[Profit]]/sales_data[[#This Row],[Sales]]</f>
        <v>0.38384487918284566</v>
      </c>
      <c r="M93" t="s">
        <v>18</v>
      </c>
      <c r="N93" t="s">
        <v>58</v>
      </c>
    </row>
    <row r="94" spans="1:14" x14ac:dyDescent="0.25">
      <c r="A94" t="s">
        <v>265</v>
      </c>
      <c r="B94" s="1">
        <v>45977</v>
      </c>
      <c r="C94" t="s">
        <v>266</v>
      </c>
      <c r="D94" t="s">
        <v>267</v>
      </c>
      <c r="E94" t="s">
        <v>78</v>
      </c>
      <c r="F94" t="s">
        <v>79</v>
      </c>
      <c r="G94">
        <v>3</v>
      </c>
      <c r="H94">
        <v>144.79</v>
      </c>
      <c r="I94">
        <v>434.37</v>
      </c>
      <c r="J94">
        <v>0</v>
      </c>
      <c r="K94">
        <v>167.27</v>
      </c>
      <c r="L94" s="14">
        <f>sales_data[[#This Row],[Profit]]/sales_data[[#This Row],[Sales]]</f>
        <v>0.3850864470382393</v>
      </c>
      <c r="M94" t="s">
        <v>35</v>
      </c>
      <c r="N94" t="s">
        <v>19</v>
      </c>
    </row>
    <row r="95" spans="1:14" x14ac:dyDescent="0.25">
      <c r="A95" t="s">
        <v>268</v>
      </c>
      <c r="B95" s="1">
        <v>45735</v>
      </c>
      <c r="C95" t="s">
        <v>241</v>
      </c>
      <c r="D95" t="s">
        <v>242</v>
      </c>
      <c r="E95" t="s">
        <v>78</v>
      </c>
      <c r="F95" t="s">
        <v>106</v>
      </c>
      <c r="G95">
        <v>6</v>
      </c>
      <c r="H95">
        <v>69.72</v>
      </c>
      <c r="I95">
        <v>355.57</v>
      </c>
      <c r="J95">
        <v>0.15</v>
      </c>
      <c r="K95">
        <v>134.49</v>
      </c>
      <c r="L95" s="14">
        <f>sales_data[[#This Row],[Profit]]/sales_data[[#This Row],[Sales]]</f>
        <v>0.37823775909103696</v>
      </c>
      <c r="M95" t="s">
        <v>25</v>
      </c>
      <c r="N95" t="s">
        <v>58</v>
      </c>
    </row>
    <row r="96" spans="1:14" x14ac:dyDescent="0.25">
      <c r="A96" t="s">
        <v>269</v>
      </c>
      <c r="B96" s="1">
        <v>45680</v>
      </c>
      <c r="C96" t="s">
        <v>152</v>
      </c>
      <c r="D96" t="s">
        <v>153</v>
      </c>
      <c r="E96" t="s">
        <v>23</v>
      </c>
      <c r="F96" t="s">
        <v>117</v>
      </c>
      <c r="G96">
        <v>7</v>
      </c>
      <c r="H96">
        <v>47.47</v>
      </c>
      <c r="I96">
        <v>315.68</v>
      </c>
      <c r="J96">
        <v>0.05</v>
      </c>
      <c r="K96">
        <v>135.19</v>
      </c>
      <c r="L96" s="14">
        <f>sales_data[[#This Row],[Profit]]/sales_data[[#This Row],[Sales]]</f>
        <v>0.42825012671059298</v>
      </c>
      <c r="M96" t="s">
        <v>46</v>
      </c>
      <c r="N96" t="s">
        <v>19</v>
      </c>
    </row>
    <row r="97" spans="1:14" x14ac:dyDescent="0.25">
      <c r="A97" t="s">
        <v>270</v>
      </c>
      <c r="B97" s="1">
        <v>45696</v>
      </c>
      <c r="C97" t="s">
        <v>219</v>
      </c>
      <c r="D97" t="s">
        <v>220</v>
      </c>
      <c r="E97" t="s">
        <v>78</v>
      </c>
      <c r="F97" t="s">
        <v>106</v>
      </c>
      <c r="G97">
        <v>6</v>
      </c>
      <c r="H97">
        <v>169.65</v>
      </c>
      <c r="I97">
        <v>916.11</v>
      </c>
      <c r="J97">
        <v>0.1</v>
      </c>
      <c r="K97">
        <v>348.08</v>
      </c>
      <c r="L97" s="14">
        <f>sales_data[[#This Row],[Profit]]/sales_data[[#This Row],[Sales]]</f>
        <v>0.379954372291537</v>
      </c>
      <c r="M97" t="s">
        <v>25</v>
      </c>
      <c r="N97" t="s">
        <v>30</v>
      </c>
    </row>
    <row r="98" spans="1:14" x14ac:dyDescent="0.25">
      <c r="A98" t="s">
        <v>271</v>
      </c>
      <c r="B98" s="1">
        <v>45946</v>
      </c>
      <c r="C98" t="s">
        <v>81</v>
      </c>
      <c r="D98" t="s">
        <v>82</v>
      </c>
      <c r="E98" t="s">
        <v>23</v>
      </c>
      <c r="F98" t="s">
        <v>196</v>
      </c>
      <c r="G98">
        <v>6</v>
      </c>
      <c r="H98">
        <v>71.83</v>
      </c>
      <c r="I98">
        <v>387.88</v>
      </c>
      <c r="J98">
        <v>0.1</v>
      </c>
      <c r="K98">
        <v>168.9</v>
      </c>
      <c r="L98" s="14">
        <f>sales_data[[#This Row],[Profit]]/sales_data[[#This Row],[Sales]]</f>
        <v>0.43544395173765083</v>
      </c>
      <c r="M98" t="s">
        <v>35</v>
      </c>
      <c r="N98" t="s">
        <v>19</v>
      </c>
    </row>
    <row r="99" spans="1:14" x14ac:dyDescent="0.25">
      <c r="A99" t="s">
        <v>272</v>
      </c>
      <c r="B99" s="1">
        <v>45911</v>
      </c>
      <c r="C99" t="s">
        <v>273</v>
      </c>
      <c r="D99" t="s">
        <v>274</v>
      </c>
      <c r="E99" t="s">
        <v>16</v>
      </c>
      <c r="F99" t="s">
        <v>71</v>
      </c>
      <c r="G99">
        <v>6</v>
      </c>
      <c r="H99">
        <v>864.03</v>
      </c>
      <c r="I99">
        <v>4924.97</v>
      </c>
      <c r="J99">
        <v>0.05</v>
      </c>
      <c r="K99">
        <v>922.75</v>
      </c>
      <c r="L99" s="14">
        <f>sales_data[[#This Row],[Profit]]/sales_data[[#This Row],[Sales]]</f>
        <v>0.18736154737998403</v>
      </c>
      <c r="M99" t="s">
        <v>46</v>
      </c>
      <c r="N99" t="s">
        <v>19</v>
      </c>
    </row>
    <row r="100" spans="1:14" x14ac:dyDescent="0.25">
      <c r="A100" t="s">
        <v>275</v>
      </c>
      <c r="B100" s="1">
        <v>46022</v>
      </c>
      <c r="C100" t="s">
        <v>232</v>
      </c>
      <c r="D100" t="s">
        <v>233</v>
      </c>
      <c r="E100" t="s">
        <v>16</v>
      </c>
      <c r="F100" t="s">
        <v>40</v>
      </c>
      <c r="G100">
        <v>4</v>
      </c>
      <c r="H100">
        <v>491.81</v>
      </c>
      <c r="I100">
        <v>1770.52</v>
      </c>
      <c r="J100">
        <v>0.1</v>
      </c>
      <c r="K100">
        <v>363.85</v>
      </c>
      <c r="L100" s="14">
        <f>sales_data[[#This Row],[Profit]]/sales_data[[#This Row],[Sales]]</f>
        <v>0.20550459751937286</v>
      </c>
      <c r="M100" t="s">
        <v>18</v>
      </c>
      <c r="N100" t="s">
        <v>30</v>
      </c>
    </row>
    <row r="101" spans="1:14" x14ac:dyDescent="0.25">
      <c r="A101" t="s">
        <v>276</v>
      </c>
      <c r="B101" s="1">
        <v>45752</v>
      </c>
      <c r="C101" t="s">
        <v>168</v>
      </c>
      <c r="D101" t="s">
        <v>169</v>
      </c>
      <c r="E101" t="s">
        <v>23</v>
      </c>
      <c r="F101" t="s">
        <v>29</v>
      </c>
      <c r="G101">
        <v>3</v>
      </c>
      <c r="H101">
        <v>46.54</v>
      </c>
      <c r="I101">
        <v>125.66</v>
      </c>
      <c r="J101">
        <v>0.1</v>
      </c>
      <c r="K101">
        <v>53.03</v>
      </c>
      <c r="L101" s="14">
        <f>sales_data[[#This Row],[Profit]]/sales_data[[#This Row],[Sales]]</f>
        <v>0.42201177781314658</v>
      </c>
      <c r="M101" t="s">
        <v>25</v>
      </c>
      <c r="N101" t="s">
        <v>58</v>
      </c>
    </row>
    <row r="102" spans="1:14" x14ac:dyDescent="0.25">
      <c r="A102" t="s">
        <v>277</v>
      </c>
      <c r="B102" s="1">
        <v>45959</v>
      </c>
      <c r="C102" t="s">
        <v>14</v>
      </c>
      <c r="D102" t="s">
        <v>15</v>
      </c>
      <c r="E102" t="s">
        <v>78</v>
      </c>
      <c r="F102" t="s">
        <v>205</v>
      </c>
      <c r="G102">
        <v>4</v>
      </c>
      <c r="H102">
        <v>164.84</v>
      </c>
      <c r="I102">
        <v>659.36</v>
      </c>
      <c r="J102">
        <v>0</v>
      </c>
      <c r="K102">
        <v>255.16</v>
      </c>
      <c r="L102" s="14">
        <f>sales_data[[#This Row],[Profit]]/sales_data[[#This Row],[Sales]]</f>
        <v>0.38698131521475371</v>
      </c>
      <c r="M102" t="s">
        <v>35</v>
      </c>
      <c r="N102" t="s">
        <v>30</v>
      </c>
    </row>
    <row r="103" spans="1:14" x14ac:dyDescent="0.25">
      <c r="A103" t="s">
        <v>278</v>
      </c>
      <c r="B103" s="1">
        <v>46013</v>
      </c>
      <c r="C103" t="s">
        <v>279</v>
      </c>
      <c r="D103" t="s">
        <v>280</v>
      </c>
      <c r="E103" t="s">
        <v>23</v>
      </c>
      <c r="F103" t="s">
        <v>281</v>
      </c>
      <c r="G103">
        <v>4</v>
      </c>
      <c r="H103">
        <v>63.84</v>
      </c>
      <c r="I103">
        <v>255.36</v>
      </c>
      <c r="J103">
        <v>0</v>
      </c>
      <c r="K103">
        <v>107.37</v>
      </c>
      <c r="L103" s="14">
        <f>sales_data[[#This Row],[Profit]]/sales_data[[#This Row],[Sales]]</f>
        <v>0.42046522556390975</v>
      </c>
      <c r="M103" t="s">
        <v>35</v>
      </c>
      <c r="N103" t="s">
        <v>30</v>
      </c>
    </row>
    <row r="104" spans="1:14" x14ac:dyDescent="0.25">
      <c r="A104" t="s">
        <v>282</v>
      </c>
      <c r="B104" s="1">
        <v>45708</v>
      </c>
      <c r="C104" t="s">
        <v>283</v>
      </c>
      <c r="D104" t="s">
        <v>284</v>
      </c>
      <c r="E104" t="s">
        <v>16</v>
      </c>
      <c r="F104" t="s">
        <v>71</v>
      </c>
      <c r="G104">
        <v>6</v>
      </c>
      <c r="H104">
        <v>1122.8800000000001</v>
      </c>
      <c r="I104">
        <v>5726.69</v>
      </c>
      <c r="J104">
        <v>0.15</v>
      </c>
      <c r="K104">
        <v>1125.1500000000001</v>
      </c>
      <c r="L104" s="14">
        <f>sales_data[[#This Row],[Profit]]/sales_data[[#This Row],[Sales]]</f>
        <v>0.19647475243116008</v>
      </c>
      <c r="M104" t="s">
        <v>46</v>
      </c>
      <c r="N104" t="s">
        <v>19</v>
      </c>
    </row>
    <row r="105" spans="1:14" x14ac:dyDescent="0.25">
      <c r="A105" t="s">
        <v>285</v>
      </c>
      <c r="B105" s="1">
        <v>45839</v>
      </c>
      <c r="C105" t="s">
        <v>286</v>
      </c>
      <c r="D105" t="s">
        <v>287</v>
      </c>
      <c r="E105" t="s">
        <v>78</v>
      </c>
      <c r="F105" t="s">
        <v>79</v>
      </c>
      <c r="G105">
        <v>1</v>
      </c>
      <c r="H105">
        <v>65.13</v>
      </c>
      <c r="I105">
        <v>61.87</v>
      </c>
      <c r="J105">
        <v>0.05</v>
      </c>
      <c r="K105">
        <v>23.71</v>
      </c>
      <c r="L105" s="14">
        <f>sales_data[[#This Row],[Profit]]/sales_data[[#This Row],[Sales]]</f>
        <v>0.38322288669791499</v>
      </c>
      <c r="M105" t="s">
        <v>18</v>
      </c>
      <c r="N105" t="s">
        <v>19</v>
      </c>
    </row>
    <row r="106" spans="1:14" x14ac:dyDescent="0.25">
      <c r="A106" t="s">
        <v>288</v>
      </c>
      <c r="B106" s="1">
        <v>45794</v>
      </c>
      <c r="C106" t="s">
        <v>289</v>
      </c>
      <c r="D106" t="s">
        <v>290</v>
      </c>
      <c r="E106" t="s">
        <v>16</v>
      </c>
      <c r="F106" t="s">
        <v>17</v>
      </c>
      <c r="G106">
        <v>4</v>
      </c>
      <c r="H106">
        <v>950.65</v>
      </c>
      <c r="I106">
        <v>3422.34</v>
      </c>
      <c r="J106">
        <v>0.1</v>
      </c>
      <c r="K106">
        <v>706.96</v>
      </c>
      <c r="L106" s="14">
        <f>sales_data[[#This Row],[Profit]]/sales_data[[#This Row],[Sales]]</f>
        <v>0.20657211147928026</v>
      </c>
      <c r="M106" t="s">
        <v>25</v>
      </c>
      <c r="N106" t="s">
        <v>36</v>
      </c>
    </row>
    <row r="107" spans="1:14" x14ac:dyDescent="0.25">
      <c r="A107" t="s">
        <v>291</v>
      </c>
      <c r="B107" s="1">
        <v>45867</v>
      </c>
      <c r="C107" t="s">
        <v>164</v>
      </c>
      <c r="D107" t="s">
        <v>165</v>
      </c>
      <c r="E107" t="s">
        <v>78</v>
      </c>
      <c r="F107" t="s">
        <v>205</v>
      </c>
      <c r="G107">
        <v>2</v>
      </c>
      <c r="H107">
        <v>165.97</v>
      </c>
      <c r="I107">
        <v>298.75</v>
      </c>
      <c r="J107">
        <v>0.1</v>
      </c>
      <c r="K107">
        <v>116.22</v>
      </c>
      <c r="L107" s="14">
        <f>sales_data[[#This Row],[Profit]]/sales_data[[#This Row],[Sales]]</f>
        <v>0.38902092050209203</v>
      </c>
      <c r="M107" t="s">
        <v>18</v>
      </c>
      <c r="N107" t="s">
        <v>58</v>
      </c>
    </row>
    <row r="108" spans="1:14" x14ac:dyDescent="0.25">
      <c r="A108" t="s">
        <v>292</v>
      </c>
      <c r="B108" s="1">
        <v>45837</v>
      </c>
      <c r="C108" t="s">
        <v>94</v>
      </c>
      <c r="D108" t="s">
        <v>95</v>
      </c>
      <c r="E108" t="s">
        <v>16</v>
      </c>
      <c r="F108" t="s">
        <v>71</v>
      </c>
      <c r="G108">
        <v>5</v>
      </c>
      <c r="H108">
        <v>1099.94</v>
      </c>
      <c r="I108">
        <v>5224.71</v>
      </c>
      <c r="J108">
        <v>0.05</v>
      </c>
      <c r="K108">
        <v>1006.19</v>
      </c>
      <c r="L108" s="14">
        <f>sales_data[[#This Row],[Profit]]/sales_data[[#This Row],[Sales]]</f>
        <v>0.19258293761759027</v>
      </c>
      <c r="M108" t="s">
        <v>46</v>
      </c>
      <c r="N108" t="s">
        <v>47</v>
      </c>
    </row>
    <row r="109" spans="1:14" x14ac:dyDescent="0.25">
      <c r="A109" t="s">
        <v>293</v>
      </c>
      <c r="B109" s="1">
        <v>45706</v>
      </c>
      <c r="C109" t="s">
        <v>294</v>
      </c>
      <c r="D109" t="s">
        <v>295</v>
      </c>
      <c r="E109" t="s">
        <v>16</v>
      </c>
      <c r="F109" t="s">
        <v>17</v>
      </c>
      <c r="G109">
        <v>1</v>
      </c>
      <c r="H109">
        <v>1154.26</v>
      </c>
      <c r="I109">
        <v>1154.26</v>
      </c>
      <c r="J109">
        <v>0</v>
      </c>
      <c r="K109">
        <v>228.04</v>
      </c>
      <c r="L109" s="14">
        <f>sales_data[[#This Row],[Profit]]/sales_data[[#This Row],[Sales]]</f>
        <v>0.19756380711451493</v>
      </c>
      <c r="M109" t="s">
        <v>25</v>
      </c>
      <c r="N109" t="s">
        <v>19</v>
      </c>
    </row>
    <row r="110" spans="1:14" x14ac:dyDescent="0.25">
      <c r="A110" t="s">
        <v>296</v>
      </c>
      <c r="B110" s="1">
        <v>45881</v>
      </c>
      <c r="C110" t="s">
        <v>180</v>
      </c>
      <c r="D110" t="s">
        <v>181</v>
      </c>
      <c r="E110" t="s">
        <v>16</v>
      </c>
      <c r="F110" t="s">
        <v>71</v>
      </c>
      <c r="G110">
        <v>6</v>
      </c>
      <c r="H110">
        <v>906.2</v>
      </c>
      <c r="I110">
        <v>5437.2</v>
      </c>
      <c r="J110">
        <v>0</v>
      </c>
      <c r="K110">
        <v>995.32</v>
      </c>
      <c r="L110" s="14">
        <f>sales_data[[#This Row],[Profit]]/sales_data[[#This Row],[Sales]]</f>
        <v>0.18305745604355184</v>
      </c>
      <c r="M110" t="s">
        <v>25</v>
      </c>
      <c r="N110" t="s">
        <v>19</v>
      </c>
    </row>
    <row r="111" spans="1:14" x14ac:dyDescent="0.25">
      <c r="A111" t="s">
        <v>297</v>
      </c>
      <c r="B111" s="1">
        <v>45943</v>
      </c>
      <c r="C111" t="s">
        <v>98</v>
      </c>
      <c r="D111" t="s">
        <v>99</v>
      </c>
      <c r="E111" t="s">
        <v>23</v>
      </c>
      <c r="F111" t="s">
        <v>196</v>
      </c>
      <c r="G111">
        <v>3</v>
      </c>
      <c r="H111">
        <v>8.06</v>
      </c>
      <c r="I111">
        <v>21.76</v>
      </c>
      <c r="J111">
        <v>0.1</v>
      </c>
      <c r="K111">
        <v>9.2799999999999994</v>
      </c>
      <c r="L111" s="14">
        <f>sales_data[[#This Row],[Profit]]/sales_data[[#This Row],[Sales]]</f>
        <v>0.42647058823529405</v>
      </c>
      <c r="M111" t="s">
        <v>46</v>
      </c>
      <c r="N111" t="s">
        <v>30</v>
      </c>
    </row>
    <row r="112" spans="1:14" x14ac:dyDescent="0.25">
      <c r="A112" t="s">
        <v>298</v>
      </c>
      <c r="B112" s="1">
        <v>45976</v>
      </c>
      <c r="C112" t="s">
        <v>299</v>
      </c>
      <c r="D112" t="s">
        <v>300</v>
      </c>
      <c r="E112" t="s">
        <v>44</v>
      </c>
      <c r="F112" t="s">
        <v>127</v>
      </c>
      <c r="G112">
        <v>1</v>
      </c>
      <c r="H112">
        <v>254.02</v>
      </c>
      <c r="I112">
        <v>254.02</v>
      </c>
      <c r="J112">
        <v>0</v>
      </c>
      <c r="K112">
        <v>73.010000000000005</v>
      </c>
      <c r="L112" s="14">
        <f>sales_data[[#This Row],[Profit]]/sales_data[[#This Row],[Sales]]</f>
        <v>0.28741831351862057</v>
      </c>
      <c r="M112" t="s">
        <v>46</v>
      </c>
      <c r="N112" t="s">
        <v>47</v>
      </c>
    </row>
    <row r="113" spans="1:14" x14ac:dyDescent="0.25">
      <c r="A113" t="s">
        <v>301</v>
      </c>
      <c r="B113" s="1">
        <v>45744</v>
      </c>
      <c r="C113" t="s">
        <v>32</v>
      </c>
      <c r="D113" t="s">
        <v>33</v>
      </c>
      <c r="E113" t="s">
        <v>78</v>
      </c>
      <c r="F113" t="s">
        <v>205</v>
      </c>
      <c r="G113">
        <v>4</v>
      </c>
      <c r="H113">
        <v>152.44</v>
      </c>
      <c r="I113">
        <v>518.29999999999995</v>
      </c>
      <c r="J113">
        <v>0.15</v>
      </c>
      <c r="K113">
        <v>195.79</v>
      </c>
      <c r="L113" s="14">
        <f>sales_data[[#This Row],[Profit]]/sales_data[[#This Row],[Sales]]</f>
        <v>0.37775419641134478</v>
      </c>
      <c r="M113" t="s">
        <v>35</v>
      </c>
      <c r="N113" t="s">
        <v>58</v>
      </c>
    </row>
    <row r="114" spans="1:14" x14ac:dyDescent="0.25">
      <c r="A114" t="s">
        <v>302</v>
      </c>
      <c r="B114" s="1">
        <v>45912</v>
      </c>
      <c r="C114" t="s">
        <v>303</v>
      </c>
      <c r="D114" t="s">
        <v>304</v>
      </c>
      <c r="E114" t="s">
        <v>16</v>
      </c>
      <c r="F114" t="s">
        <v>34</v>
      </c>
      <c r="G114">
        <v>6</v>
      </c>
      <c r="H114">
        <v>423.64</v>
      </c>
      <c r="I114">
        <v>2287.66</v>
      </c>
      <c r="J114">
        <v>0.1</v>
      </c>
      <c r="K114">
        <v>419.5</v>
      </c>
      <c r="L114" s="14">
        <f>sales_data[[#This Row],[Profit]]/sales_data[[#This Row],[Sales]]</f>
        <v>0.18337515190194348</v>
      </c>
      <c r="M114" t="s">
        <v>25</v>
      </c>
      <c r="N114" t="s">
        <v>47</v>
      </c>
    </row>
    <row r="115" spans="1:14" x14ac:dyDescent="0.25">
      <c r="A115" t="s">
        <v>305</v>
      </c>
      <c r="B115" s="1">
        <v>45822</v>
      </c>
      <c r="C115" t="s">
        <v>112</v>
      </c>
      <c r="D115" t="s">
        <v>113</v>
      </c>
      <c r="E115" t="s">
        <v>78</v>
      </c>
      <c r="F115" t="s">
        <v>106</v>
      </c>
      <c r="G115">
        <v>5</v>
      </c>
      <c r="H115">
        <v>77.900000000000006</v>
      </c>
      <c r="I115">
        <v>370.02</v>
      </c>
      <c r="J115">
        <v>0.05</v>
      </c>
      <c r="K115">
        <v>143.34</v>
      </c>
      <c r="L115" s="14">
        <f>sales_data[[#This Row],[Profit]]/sales_data[[#This Row],[Sales]]</f>
        <v>0.38738446570455654</v>
      </c>
      <c r="M115" t="s">
        <v>46</v>
      </c>
      <c r="N115" t="s">
        <v>36</v>
      </c>
    </row>
    <row r="116" spans="1:14" x14ac:dyDescent="0.25">
      <c r="A116" t="s">
        <v>306</v>
      </c>
      <c r="B116" s="1">
        <v>45769</v>
      </c>
      <c r="C116" t="s">
        <v>307</v>
      </c>
      <c r="D116" t="s">
        <v>308</v>
      </c>
      <c r="E116" t="s">
        <v>16</v>
      </c>
      <c r="F116" t="s">
        <v>34</v>
      </c>
      <c r="G116">
        <v>4</v>
      </c>
      <c r="H116">
        <v>780.44</v>
      </c>
      <c r="I116">
        <v>2809.58</v>
      </c>
      <c r="J116">
        <v>0.1</v>
      </c>
      <c r="K116">
        <v>513.26</v>
      </c>
      <c r="L116" s="14">
        <f>sales_data[[#This Row],[Profit]]/sales_data[[#This Row],[Sales]]</f>
        <v>0.18268210906968302</v>
      </c>
      <c r="M116" t="s">
        <v>35</v>
      </c>
      <c r="N116" t="s">
        <v>30</v>
      </c>
    </row>
    <row r="117" spans="1:14" x14ac:dyDescent="0.25">
      <c r="A117" t="s">
        <v>309</v>
      </c>
      <c r="B117" s="1">
        <v>45852</v>
      </c>
      <c r="C117" t="s">
        <v>286</v>
      </c>
      <c r="D117" t="s">
        <v>287</v>
      </c>
      <c r="E117" t="s">
        <v>16</v>
      </c>
      <c r="F117" t="s">
        <v>89</v>
      </c>
      <c r="G117">
        <v>7</v>
      </c>
      <c r="H117">
        <v>339.97</v>
      </c>
      <c r="I117">
        <v>2141.81</v>
      </c>
      <c r="J117">
        <v>0.1</v>
      </c>
      <c r="K117">
        <v>423.47</v>
      </c>
      <c r="L117" s="14">
        <f>sales_data[[#This Row],[Profit]]/sales_data[[#This Row],[Sales]]</f>
        <v>0.19771595052782462</v>
      </c>
      <c r="M117" t="s">
        <v>46</v>
      </c>
      <c r="N117" t="s">
        <v>36</v>
      </c>
    </row>
    <row r="118" spans="1:14" x14ac:dyDescent="0.25">
      <c r="A118" t="s">
        <v>310</v>
      </c>
      <c r="B118" s="1">
        <v>46012</v>
      </c>
      <c r="C118" t="s">
        <v>81</v>
      </c>
      <c r="D118" t="s">
        <v>82</v>
      </c>
      <c r="E118" t="s">
        <v>44</v>
      </c>
      <c r="F118" t="s">
        <v>45</v>
      </c>
      <c r="G118">
        <v>2</v>
      </c>
      <c r="H118">
        <v>541.62</v>
      </c>
      <c r="I118">
        <v>1083.24</v>
      </c>
      <c r="J118">
        <v>0</v>
      </c>
      <c r="K118">
        <v>307.58</v>
      </c>
      <c r="L118" s="14">
        <f>sales_data[[#This Row],[Profit]]/sales_data[[#This Row],[Sales]]</f>
        <v>0.28394446290757358</v>
      </c>
      <c r="M118" t="s">
        <v>25</v>
      </c>
      <c r="N118" t="s">
        <v>58</v>
      </c>
    </row>
    <row r="119" spans="1:14" x14ac:dyDescent="0.25">
      <c r="A119" t="s">
        <v>311</v>
      </c>
      <c r="B119" s="1">
        <v>45772</v>
      </c>
      <c r="C119" t="s">
        <v>312</v>
      </c>
      <c r="D119" t="s">
        <v>313</v>
      </c>
      <c r="E119" t="s">
        <v>78</v>
      </c>
      <c r="F119" t="s">
        <v>255</v>
      </c>
      <c r="G119">
        <v>6</v>
      </c>
      <c r="H119">
        <v>135.57</v>
      </c>
      <c r="I119">
        <v>732.08</v>
      </c>
      <c r="J119">
        <v>0.1</v>
      </c>
      <c r="K119">
        <v>276.67</v>
      </c>
      <c r="L119" s="14">
        <f>sales_data[[#This Row],[Profit]]/sales_data[[#This Row],[Sales]]</f>
        <v>0.37792317779477652</v>
      </c>
      <c r="M119" t="s">
        <v>35</v>
      </c>
      <c r="N119" t="s">
        <v>58</v>
      </c>
    </row>
    <row r="120" spans="1:14" x14ac:dyDescent="0.25">
      <c r="A120" t="s">
        <v>314</v>
      </c>
      <c r="B120" s="1">
        <v>45686</v>
      </c>
      <c r="C120" t="s">
        <v>53</v>
      </c>
      <c r="D120" t="s">
        <v>54</v>
      </c>
      <c r="E120" t="s">
        <v>44</v>
      </c>
      <c r="F120" t="s">
        <v>96</v>
      </c>
      <c r="G120">
        <v>2</v>
      </c>
      <c r="H120">
        <v>212.45</v>
      </c>
      <c r="I120">
        <v>424.9</v>
      </c>
      <c r="J120">
        <v>0</v>
      </c>
      <c r="K120">
        <v>120.06</v>
      </c>
      <c r="L120" s="14">
        <f>sales_data[[#This Row],[Profit]]/sales_data[[#This Row],[Sales]]</f>
        <v>0.28256060249470466</v>
      </c>
      <c r="M120" t="s">
        <v>35</v>
      </c>
      <c r="N120" t="s">
        <v>47</v>
      </c>
    </row>
    <row r="121" spans="1:14" x14ac:dyDescent="0.25">
      <c r="A121" t="s">
        <v>315</v>
      </c>
      <c r="B121" s="1">
        <v>45674</v>
      </c>
      <c r="C121" t="s">
        <v>132</v>
      </c>
      <c r="D121" t="s">
        <v>133</v>
      </c>
      <c r="E121" t="s">
        <v>44</v>
      </c>
      <c r="F121" t="s">
        <v>96</v>
      </c>
      <c r="G121">
        <v>1</v>
      </c>
      <c r="H121">
        <v>363.3</v>
      </c>
      <c r="I121">
        <v>326.97000000000003</v>
      </c>
      <c r="J121">
        <v>0.1</v>
      </c>
      <c r="K121">
        <v>100.32</v>
      </c>
      <c r="L121" s="14">
        <f>sales_data[[#This Row],[Profit]]/sales_data[[#This Row],[Sales]]</f>
        <v>0.30681713918708131</v>
      </c>
      <c r="M121" t="s">
        <v>46</v>
      </c>
      <c r="N121" t="s">
        <v>19</v>
      </c>
    </row>
    <row r="122" spans="1:14" x14ac:dyDescent="0.25">
      <c r="A122" t="s">
        <v>316</v>
      </c>
      <c r="B122" s="1">
        <v>45825</v>
      </c>
      <c r="C122" t="s">
        <v>125</v>
      </c>
      <c r="D122" t="s">
        <v>126</v>
      </c>
      <c r="E122" t="s">
        <v>16</v>
      </c>
      <c r="F122" t="s">
        <v>34</v>
      </c>
      <c r="G122">
        <v>4</v>
      </c>
      <c r="H122">
        <v>768.89</v>
      </c>
      <c r="I122">
        <v>2921.78</v>
      </c>
      <c r="J122">
        <v>0.05</v>
      </c>
      <c r="K122">
        <v>563.32000000000005</v>
      </c>
      <c r="L122" s="14">
        <f>sales_data[[#This Row],[Profit]]/sales_data[[#This Row],[Sales]]</f>
        <v>0.19280027928180768</v>
      </c>
      <c r="M122" t="s">
        <v>35</v>
      </c>
      <c r="N122" t="s">
        <v>47</v>
      </c>
    </row>
    <row r="123" spans="1:14" x14ac:dyDescent="0.25">
      <c r="A123" t="s">
        <v>317</v>
      </c>
      <c r="B123" s="1">
        <v>45703</v>
      </c>
      <c r="C123" t="s">
        <v>258</v>
      </c>
      <c r="D123" t="s">
        <v>259</v>
      </c>
      <c r="E123" t="s">
        <v>44</v>
      </c>
      <c r="F123" t="s">
        <v>96</v>
      </c>
      <c r="G123">
        <v>2</v>
      </c>
      <c r="H123">
        <v>141.41</v>
      </c>
      <c r="I123">
        <v>254.54</v>
      </c>
      <c r="J123">
        <v>0.1</v>
      </c>
      <c r="K123">
        <v>78.28</v>
      </c>
      <c r="L123" s="14">
        <f>sales_data[[#This Row],[Profit]]/sales_data[[#This Row],[Sales]]</f>
        <v>0.30753516146774573</v>
      </c>
      <c r="M123" t="s">
        <v>25</v>
      </c>
      <c r="N123" t="s">
        <v>58</v>
      </c>
    </row>
    <row r="124" spans="1:14" x14ac:dyDescent="0.25">
      <c r="A124" t="s">
        <v>318</v>
      </c>
      <c r="B124" s="1">
        <v>45924</v>
      </c>
      <c r="C124" t="s">
        <v>147</v>
      </c>
      <c r="D124" t="s">
        <v>148</v>
      </c>
      <c r="E124" t="s">
        <v>16</v>
      </c>
      <c r="F124" t="s">
        <v>17</v>
      </c>
      <c r="G124">
        <v>3</v>
      </c>
      <c r="H124">
        <v>442.92</v>
      </c>
      <c r="I124">
        <v>1195.8800000000001</v>
      </c>
      <c r="J124">
        <v>0.1</v>
      </c>
      <c r="K124">
        <v>240.48</v>
      </c>
      <c r="L124" s="14">
        <f>sales_data[[#This Row],[Profit]]/sales_data[[#This Row],[Sales]]</f>
        <v>0.20109041040907111</v>
      </c>
      <c r="M124" t="s">
        <v>18</v>
      </c>
      <c r="N124" t="s">
        <v>47</v>
      </c>
    </row>
    <row r="125" spans="1:14" x14ac:dyDescent="0.25">
      <c r="A125" t="s">
        <v>319</v>
      </c>
      <c r="B125" s="1">
        <v>45969</v>
      </c>
      <c r="C125" t="s">
        <v>119</v>
      </c>
      <c r="D125" t="s">
        <v>120</v>
      </c>
      <c r="E125" t="s">
        <v>44</v>
      </c>
      <c r="F125" t="s">
        <v>51</v>
      </c>
      <c r="G125">
        <v>2</v>
      </c>
      <c r="H125">
        <v>50.89</v>
      </c>
      <c r="I125">
        <v>101.78</v>
      </c>
      <c r="J125">
        <v>0</v>
      </c>
      <c r="K125">
        <v>29.73</v>
      </c>
      <c r="L125" s="14">
        <f>sales_data[[#This Row],[Profit]]/sales_data[[#This Row],[Sales]]</f>
        <v>0.29210060915700531</v>
      </c>
      <c r="M125" t="s">
        <v>18</v>
      </c>
      <c r="N125" t="s">
        <v>36</v>
      </c>
    </row>
    <row r="126" spans="1:14" x14ac:dyDescent="0.25">
      <c r="A126" t="s">
        <v>320</v>
      </c>
      <c r="B126" s="1">
        <v>45858</v>
      </c>
      <c r="C126" t="s">
        <v>241</v>
      </c>
      <c r="D126" t="s">
        <v>242</v>
      </c>
      <c r="E126" t="s">
        <v>44</v>
      </c>
      <c r="F126" t="s">
        <v>51</v>
      </c>
      <c r="G126">
        <v>2</v>
      </c>
      <c r="H126">
        <v>101.42</v>
      </c>
      <c r="I126">
        <v>202.84</v>
      </c>
      <c r="J126">
        <v>0</v>
      </c>
      <c r="K126">
        <v>58.45</v>
      </c>
      <c r="L126" s="14">
        <f>sales_data[[#This Row],[Profit]]/sales_data[[#This Row],[Sales]]</f>
        <v>0.28815815421021496</v>
      </c>
      <c r="M126" t="s">
        <v>35</v>
      </c>
      <c r="N126" t="s">
        <v>19</v>
      </c>
    </row>
    <row r="127" spans="1:14" x14ac:dyDescent="0.25">
      <c r="A127" t="s">
        <v>321</v>
      </c>
      <c r="B127" s="1">
        <v>45682</v>
      </c>
      <c r="C127" t="s">
        <v>158</v>
      </c>
      <c r="D127" t="s">
        <v>159</v>
      </c>
      <c r="E127" t="s">
        <v>23</v>
      </c>
      <c r="F127" t="s">
        <v>29</v>
      </c>
      <c r="G127">
        <v>3</v>
      </c>
      <c r="H127">
        <v>66.069999999999993</v>
      </c>
      <c r="I127">
        <v>178.39</v>
      </c>
      <c r="J127">
        <v>0.1</v>
      </c>
      <c r="K127">
        <v>74.77</v>
      </c>
      <c r="L127" s="14">
        <f>sales_data[[#This Row],[Profit]]/sales_data[[#This Row],[Sales]]</f>
        <v>0.41913784404955434</v>
      </c>
      <c r="M127" t="s">
        <v>46</v>
      </c>
      <c r="N127" t="s">
        <v>47</v>
      </c>
    </row>
    <row r="128" spans="1:14" x14ac:dyDescent="0.25">
      <c r="A128" t="s">
        <v>322</v>
      </c>
      <c r="B128" s="1">
        <v>45701</v>
      </c>
      <c r="C128" t="s">
        <v>323</v>
      </c>
      <c r="D128" t="s">
        <v>324</v>
      </c>
      <c r="E128" t="s">
        <v>16</v>
      </c>
      <c r="F128" t="s">
        <v>17</v>
      </c>
      <c r="G128">
        <v>3</v>
      </c>
      <c r="H128">
        <v>1155.47</v>
      </c>
      <c r="I128">
        <v>3119.77</v>
      </c>
      <c r="J128">
        <v>0.1</v>
      </c>
      <c r="K128">
        <v>590.52</v>
      </c>
      <c r="L128" s="14">
        <f>sales_data[[#This Row],[Profit]]/sales_data[[#This Row],[Sales]]</f>
        <v>0.18928318433730693</v>
      </c>
      <c r="M128" t="s">
        <v>35</v>
      </c>
      <c r="N128" t="s">
        <v>30</v>
      </c>
    </row>
    <row r="129" spans="1:14" x14ac:dyDescent="0.25">
      <c r="A129" t="s">
        <v>325</v>
      </c>
      <c r="B129" s="1">
        <v>45921</v>
      </c>
      <c r="C129" t="s">
        <v>183</v>
      </c>
      <c r="D129" t="s">
        <v>184</v>
      </c>
      <c r="E129" t="s">
        <v>44</v>
      </c>
      <c r="F129" t="s">
        <v>127</v>
      </c>
      <c r="G129">
        <v>5</v>
      </c>
      <c r="H129">
        <v>538.54999999999995</v>
      </c>
      <c r="I129">
        <v>2423.48</v>
      </c>
      <c r="J129">
        <v>0.1</v>
      </c>
      <c r="K129">
        <v>704.95</v>
      </c>
      <c r="L129" s="14">
        <f>sales_data[[#This Row],[Profit]]/sales_data[[#This Row],[Sales]]</f>
        <v>0.29088335781603314</v>
      </c>
      <c r="M129" t="s">
        <v>25</v>
      </c>
      <c r="N129" t="s">
        <v>36</v>
      </c>
    </row>
    <row r="130" spans="1:14" x14ac:dyDescent="0.25">
      <c r="A130" t="s">
        <v>326</v>
      </c>
      <c r="B130" s="1">
        <v>45800</v>
      </c>
      <c r="C130" t="s">
        <v>323</v>
      </c>
      <c r="D130" t="s">
        <v>324</v>
      </c>
      <c r="E130" t="s">
        <v>78</v>
      </c>
      <c r="F130" t="s">
        <v>79</v>
      </c>
      <c r="G130">
        <v>2</v>
      </c>
      <c r="H130">
        <v>16.87</v>
      </c>
      <c r="I130">
        <v>30.37</v>
      </c>
      <c r="J130">
        <v>0.1</v>
      </c>
      <c r="K130">
        <v>11.8</v>
      </c>
      <c r="L130" s="14">
        <f>sales_data[[#This Row],[Profit]]/sales_data[[#This Row],[Sales]]</f>
        <v>0.38854132367467897</v>
      </c>
      <c r="M130" t="s">
        <v>25</v>
      </c>
      <c r="N130" t="s">
        <v>36</v>
      </c>
    </row>
    <row r="131" spans="1:14" x14ac:dyDescent="0.25">
      <c r="A131" t="s">
        <v>327</v>
      </c>
      <c r="B131" s="1">
        <v>45743</v>
      </c>
      <c r="C131" t="s">
        <v>328</v>
      </c>
      <c r="D131" t="s">
        <v>329</v>
      </c>
      <c r="E131" t="s">
        <v>16</v>
      </c>
      <c r="F131" t="s">
        <v>17</v>
      </c>
      <c r="G131">
        <v>6</v>
      </c>
      <c r="H131">
        <v>166.61</v>
      </c>
      <c r="I131">
        <v>899.69</v>
      </c>
      <c r="J131">
        <v>0.1</v>
      </c>
      <c r="K131">
        <v>183.74</v>
      </c>
      <c r="L131" s="14">
        <f>sales_data[[#This Row],[Profit]]/sales_data[[#This Row],[Sales]]</f>
        <v>0.20422590003223332</v>
      </c>
      <c r="M131" t="s">
        <v>25</v>
      </c>
      <c r="N131" t="s">
        <v>47</v>
      </c>
    </row>
    <row r="132" spans="1:14" x14ac:dyDescent="0.25">
      <c r="A132" t="s">
        <v>330</v>
      </c>
      <c r="B132" s="1">
        <v>45739</v>
      </c>
      <c r="C132" t="s">
        <v>183</v>
      </c>
      <c r="D132" t="s">
        <v>184</v>
      </c>
      <c r="E132" t="s">
        <v>44</v>
      </c>
      <c r="F132" t="s">
        <v>51</v>
      </c>
      <c r="G132">
        <v>6</v>
      </c>
      <c r="H132">
        <v>66.77</v>
      </c>
      <c r="I132">
        <v>380.59</v>
      </c>
      <c r="J132">
        <v>0.05</v>
      </c>
      <c r="K132">
        <v>112.02</v>
      </c>
      <c r="L132" s="14">
        <f>sales_data[[#This Row],[Profit]]/sales_data[[#This Row],[Sales]]</f>
        <v>0.29433248377519117</v>
      </c>
      <c r="M132" t="s">
        <v>18</v>
      </c>
      <c r="N132" t="s">
        <v>36</v>
      </c>
    </row>
    <row r="133" spans="1:14" x14ac:dyDescent="0.25">
      <c r="A133" t="s">
        <v>331</v>
      </c>
      <c r="B133" s="1">
        <v>45765</v>
      </c>
      <c r="C133" t="s">
        <v>38</v>
      </c>
      <c r="D133" t="s">
        <v>39</v>
      </c>
      <c r="E133" t="s">
        <v>23</v>
      </c>
      <c r="F133" t="s">
        <v>24</v>
      </c>
      <c r="G133">
        <v>5</v>
      </c>
      <c r="H133">
        <v>8.93</v>
      </c>
      <c r="I133">
        <v>40.18</v>
      </c>
      <c r="J133">
        <v>0.1</v>
      </c>
      <c r="K133">
        <v>17.27</v>
      </c>
      <c r="L133" s="14">
        <f>sales_data[[#This Row],[Profit]]/sales_data[[#This Row],[Sales]]</f>
        <v>0.42981582877053259</v>
      </c>
      <c r="M133" t="s">
        <v>18</v>
      </c>
      <c r="N133" t="s">
        <v>30</v>
      </c>
    </row>
    <row r="134" spans="1:14" x14ac:dyDescent="0.25">
      <c r="A134" t="s">
        <v>332</v>
      </c>
      <c r="B134" s="1">
        <v>45661</v>
      </c>
      <c r="C134" t="s">
        <v>266</v>
      </c>
      <c r="D134" t="s">
        <v>267</v>
      </c>
      <c r="E134" t="s">
        <v>44</v>
      </c>
      <c r="F134" t="s">
        <v>110</v>
      </c>
      <c r="G134">
        <v>6</v>
      </c>
      <c r="H134">
        <v>243.56</v>
      </c>
      <c r="I134">
        <v>1315.22</v>
      </c>
      <c r="J134">
        <v>0.1</v>
      </c>
      <c r="K134">
        <v>372.76</v>
      </c>
      <c r="L134" s="14">
        <f>sales_data[[#This Row],[Profit]]/sales_data[[#This Row],[Sales]]</f>
        <v>0.28342026429038486</v>
      </c>
      <c r="M134" t="s">
        <v>46</v>
      </c>
      <c r="N134" t="s">
        <v>30</v>
      </c>
    </row>
    <row r="135" spans="1:14" x14ac:dyDescent="0.25">
      <c r="A135" t="s">
        <v>333</v>
      </c>
      <c r="B135" s="1">
        <v>45827</v>
      </c>
      <c r="C135" t="s">
        <v>222</v>
      </c>
      <c r="D135" t="s">
        <v>223</v>
      </c>
      <c r="E135" t="s">
        <v>16</v>
      </c>
      <c r="F135" t="s">
        <v>34</v>
      </c>
      <c r="G135">
        <v>6</v>
      </c>
      <c r="H135">
        <v>25.28</v>
      </c>
      <c r="I135">
        <v>151.68</v>
      </c>
      <c r="J135">
        <v>0</v>
      </c>
      <c r="K135">
        <v>30.11</v>
      </c>
      <c r="L135" s="14">
        <f>sales_data[[#This Row],[Profit]]/sales_data[[#This Row],[Sales]]</f>
        <v>0.19851002109704641</v>
      </c>
      <c r="M135" t="s">
        <v>25</v>
      </c>
      <c r="N135" t="s">
        <v>58</v>
      </c>
    </row>
    <row r="136" spans="1:14" x14ac:dyDescent="0.25">
      <c r="A136" t="s">
        <v>334</v>
      </c>
      <c r="B136" s="1">
        <v>45686</v>
      </c>
      <c r="C136" t="s">
        <v>335</v>
      </c>
      <c r="D136" t="s">
        <v>336</v>
      </c>
      <c r="E136" t="s">
        <v>16</v>
      </c>
      <c r="F136" t="s">
        <v>40</v>
      </c>
      <c r="G136">
        <v>1</v>
      </c>
      <c r="H136">
        <v>497.27</v>
      </c>
      <c r="I136">
        <v>472.41</v>
      </c>
      <c r="J136">
        <v>0.05</v>
      </c>
      <c r="K136">
        <v>90.31</v>
      </c>
      <c r="L136" s="14">
        <f>sales_data[[#This Row],[Profit]]/sales_data[[#This Row],[Sales]]</f>
        <v>0.19116868821574479</v>
      </c>
      <c r="M136" t="s">
        <v>25</v>
      </c>
      <c r="N136" t="s">
        <v>30</v>
      </c>
    </row>
    <row r="137" spans="1:14" x14ac:dyDescent="0.25">
      <c r="A137" t="s">
        <v>337</v>
      </c>
      <c r="B137" s="1">
        <v>46016</v>
      </c>
      <c r="C137" t="s">
        <v>338</v>
      </c>
      <c r="D137" t="s">
        <v>339</v>
      </c>
      <c r="E137" t="s">
        <v>78</v>
      </c>
      <c r="F137" t="s">
        <v>205</v>
      </c>
      <c r="G137">
        <v>5</v>
      </c>
      <c r="H137">
        <v>133.94999999999999</v>
      </c>
      <c r="I137">
        <v>669.75</v>
      </c>
      <c r="J137">
        <v>0</v>
      </c>
      <c r="K137">
        <v>251.81</v>
      </c>
      <c r="L137" s="14">
        <f>sales_data[[#This Row],[Profit]]/sales_data[[#This Row],[Sales]]</f>
        <v>0.37597611048898844</v>
      </c>
      <c r="M137" t="s">
        <v>25</v>
      </c>
      <c r="N137" t="s">
        <v>47</v>
      </c>
    </row>
    <row r="138" spans="1:14" x14ac:dyDescent="0.25">
      <c r="A138" t="s">
        <v>340</v>
      </c>
      <c r="B138" s="1">
        <v>45810</v>
      </c>
      <c r="C138" t="s">
        <v>341</v>
      </c>
      <c r="D138" t="s">
        <v>342</v>
      </c>
      <c r="E138" t="s">
        <v>16</v>
      </c>
      <c r="F138" t="s">
        <v>17</v>
      </c>
      <c r="G138">
        <v>1</v>
      </c>
      <c r="H138">
        <v>1094.6500000000001</v>
      </c>
      <c r="I138">
        <v>1094.6500000000001</v>
      </c>
      <c r="J138">
        <v>0</v>
      </c>
      <c r="K138">
        <v>226.28</v>
      </c>
      <c r="L138" s="14">
        <f>sales_data[[#This Row],[Profit]]/sales_data[[#This Row],[Sales]]</f>
        <v>0.20671447494632986</v>
      </c>
      <c r="M138" t="s">
        <v>35</v>
      </c>
      <c r="N138" t="s">
        <v>30</v>
      </c>
    </row>
    <row r="139" spans="1:14" x14ac:dyDescent="0.25">
      <c r="A139" t="s">
        <v>343</v>
      </c>
      <c r="B139" s="1">
        <v>45950</v>
      </c>
      <c r="C139" t="s">
        <v>237</v>
      </c>
      <c r="D139" t="s">
        <v>238</v>
      </c>
      <c r="E139" t="s">
        <v>16</v>
      </c>
      <c r="F139" t="s">
        <v>89</v>
      </c>
      <c r="G139">
        <v>5</v>
      </c>
      <c r="H139">
        <v>130.06</v>
      </c>
      <c r="I139">
        <v>617.78</v>
      </c>
      <c r="J139">
        <v>0.05</v>
      </c>
      <c r="K139">
        <v>113.44</v>
      </c>
      <c r="L139" s="14">
        <f>sales_data[[#This Row],[Profit]]/sales_data[[#This Row],[Sales]]</f>
        <v>0.18362523875813397</v>
      </c>
      <c r="M139" t="s">
        <v>46</v>
      </c>
      <c r="N139" t="s">
        <v>58</v>
      </c>
    </row>
    <row r="140" spans="1:14" x14ac:dyDescent="0.25">
      <c r="A140" t="s">
        <v>344</v>
      </c>
      <c r="B140" s="1">
        <v>45810</v>
      </c>
      <c r="C140" t="s">
        <v>294</v>
      </c>
      <c r="D140" t="s">
        <v>295</v>
      </c>
      <c r="E140" t="s">
        <v>78</v>
      </c>
      <c r="F140" t="s">
        <v>205</v>
      </c>
      <c r="G140">
        <v>4</v>
      </c>
      <c r="H140">
        <v>19.18</v>
      </c>
      <c r="I140">
        <v>72.88</v>
      </c>
      <c r="J140">
        <v>0.05</v>
      </c>
      <c r="K140">
        <v>26.59</v>
      </c>
      <c r="L140" s="14">
        <f>sales_data[[#This Row],[Profit]]/sales_data[[#This Row],[Sales]]</f>
        <v>0.36484632272228323</v>
      </c>
      <c r="M140" t="s">
        <v>46</v>
      </c>
      <c r="N140" t="s">
        <v>19</v>
      </c>
    </row>
    <row r="141" spans="1:14" x14ac:dyDescent="0.25">
      <c r="A141" t="s">
        <v>345</v>
      </c>
      <c r="B141" s="1">
        <v>45764</v>
      </c>
      <c r="C141" t="s">
        <v>125</v>
      </c>
      <c r="D141" t="s">
        <v>126</v>
      </c>
      <c r="E141" t="s">
        <v>78</v>
      </c>
      <c r="F141" t="s">
        <v>205</v>
      </c>
      <c r="G141">
        <v>1</v>
      </c>
      <c r="H141">
        <v>45.92</v>
      </c>
      <c r="I141">
        <v>45.92</v>
      </c>
      <c r="J141">
        <v>0</v>
      </c>
      <c r="K141">
        <v>16.829999999999998</v>
      </c>
      <c r="L141" s="14">
        <f>sales_data[[#This Row],[Profit]]/sales_data[[#This Row],[Sales]]</f>
        <v>0.36650696864111493</v>
      </c>
      <c r="M141" t="s">
        <v>46</v>
      </c>
      <c r="N141" t="s">
        <v>19</v>
      </c>
    </row>
    <row r="142" spans="1:14" x14ac:dyDescent="0.25">
      <c r="A142" t="s">
        <v>346</v>
      </c>
      <c r="B142" s="1">
        <v>45666</v>
      </c>
      <c r="C142" t="s">
        <v>347</v>
      </c>
      <c r="D142" t="s">
        <v>348</v>
      </c>
      <c r="E142" t="s">
        <v>16</v>
      </c>
      <c r="F142" t="s">
        <v>71</v>
      </c>
      <c r="G142">
        <v>4</v>
      </c>
      <c r="H142">
        <v>1194.02</v>
      </c>
      <c r="I142">
        <v>4776.08</v>
      </c>
      <c r="J142">
        <v>0</v>
      </c>
      <c r="K142">
        <v>946.2</v>
      </c>
      <c r="L142" s="14">
        <f>sales_data[[#This Row],[Profit]]/sales_data[[#This Row],[Sales]]</f>
        <v>0.19811225942614027</v>
      </c>
      <c r="M142" t="s">
        <v>46</v>
      </c>
      <c r="N142" t="s">
        <v>47</v>
      </c>
    </row>
    <row r="143" spans="1:14" x14ac:dyDescent="0.25">
      <c r="A143" t="s">
        <v>349</v>
      </c>
      <c r="B143" s="1">
        <v>45817</v>
      </c>
      <c r="C143" t="s">
        <v>347</v>
      </c>
      <c r="D143" t="s">
        <v>348</v>
      </c>
      <c r="E143" t="s">
        <v>23</v>
      </c>
      <c r="F143" t="s">
        <v>24</v>
      </c>
      <c r="G143">
        <v>6</v>
      </c>
      <c r="H143">
        <v>50.97</v>
      </c>
      <c r="I143">
        <v>275.24</v>
      </c>
      <c r="J143">
        <v>0.1</v>
      </c>
      <c r="K143">
        <v>120.82</v>
      </c>
      <c r="L143" s="14">
        <f>sales_data[[#This Row],[Profit]]/sales_data[[#This Row],[Sales]]</f>
        <v>0.43896236012207523</v>
      </c>
      <c r="M143" t="s">
        <v>25</v>
      </c>
      <c r="N143" t="s">
        <v>19</v>
      </c>
    </row>
    <row r="144" spans="1:14" x14ac:dyDescent="0.25">
      <c r="A144" t="s">
        <v>350</v>
      </c>
      <c r="B144" s="1">
        <v>45980</v>
      </c>
      <c r="C144" t="s">
        <v>91</v>
      </c>
      <c r="D144" t="s">
        <v>92</v>
      </c>
      <c r="E144" t="s">
        <v>16</v>
      </c>
      <c r="F144" t="s">
        <v>71</v>
      </c>
      <c r="G144">
        <v>5</v>
      </c>
      <c r="H144">
        <v>1069.28</v>
      </c>
      <c r="I144">
        <v>4277.12</v>
      </c>
      <c r="J144">
        <v>0.2</v>
      </c>
      <c r="K144">
        <v>787.57</v>
      </c>
      <c r="L144" s="14">
        <f>sales_data[[#This Row],[Profit]]/sales_data[[#This Row],[Sales]]</f>
        <v>0.18413558656292087</v>
      </c>
      <c r="M144" t="s">
        <v>35</v>
      </c>
      <c r="N144" t="s">
        <v>36</v>
      </c>
    </row>
    <row r="145" spans="1:14" x14ac:dyDescent="0.25">
      <c r="A145" t="s">
        <v>351</v>
      </c>
      <c r="B145" s="1">
        <v>45883</v>
      </c>
      <c r="C145" t="s">
        <v>232</v>
      </c>
      <c r="D145" t="s">
        <v>233</v>
      </c>
      <c r="E145" t="s">
        <v>44</v>
      </c>
      <c r="F145" t="s">
        <v>127</v>
      </c>
      <c r="G145">
        <v>4</v>
      </c>
      <c r="H145">
        <v>279.7</v>
      </c>
      <c r="I145">
        <v>1118.8</v>
      </c>
      <c r="J145">
        <v>0</v>
      </c>
      <c r="K145">
        <v>322.55</v>
      </c>
      <c r="L145" s="14">
        <f>sales_data[[#This Row],[Profit]]/sales_data[[#This Row],[Sales]]</f>
        <v>0.28829996424740795</v>
      </c>
      <c r="M145" t="s">
        <v>46</v>
      </c>
      <c r="N145" t="s">
        <v>47</v>
      </c>
    </row>
    <row r="146" spans="1:14" x14ac:dyDescent="0.25">
      <c r="A146" t="s">
        <v>352</v>
      </c>
      <c r="B146" s="1">
        <v>45833</v>
      </c>
      <c r="C146" t="s">
        <v>208</v>
      </c>
      <c r="D146" t="s">
        <v>209</v>
      </c>
      <c r="E146" t="s">
        <v>16</v>
      </c>
      <c r="F146" t="s">
        <v>40</v>
      </c>
      <c r="G146">
        <v>4</v>
      </c>
      <c r="H146">
        <v>114.45</v>
      </c>
      <c r="I146">
        <v>389.13</v>
      </c>
      <c r="J146">
        <v>0.15</v>
      </c>
      <c r="K146">
        <v>75.94</v>
      </c>
      <c r="L146" s="14">
        <f>sales_data[[#This Row],[Profit]]/sales_data[[#This Row],[Sales]]</f>
        <v>0.19515329067406778</v>
      </c>
      <c r="M146" t="s">
        <v>25</v>
      </c>
      <c r="N146" t="s">
        <v>19</v>
      </c>
    </row>
    <row r="147" spans="1:14" x14ac:dyDescent="0.25">
      <c r="A147" t="s">
        <v>353</v>
      </c>
      <c r="B147" s="1">
        <v>45713</v>
      </c>
      <c r="C147" t="s">
        <v>147</v>
      </c>
      <c r="D147" t="s">
        <v>148</v>
      </c>
      <c r="E147" t="s">
        <v>78</v>
      </c>
      <c r="F147" t="s">
        <v>106</v>
      </c>
      <c r="G147">
        <v>2</v>
      </c>
      <c r="H147">
        <v>101.53</v>
      </c>
      <c r="I147">
        <v>172.6</v>
      </c>
      <c r="J147">
        <v>0.15</v>
      </c>
      <c r="K147">
        <v>63.51</v>
      </c>
      <c r="L147" s="14">
        <f>sales_data[[#This Row],[Profit]]/sales_data[[#This Row],[Sales]]</f>
        <v>0.36796060254924684</v>
      </c>
      <c r="M147" t="s">
        <v>25</v>
      </c>
      <c r="N147" t="s">
        <v>58</v>
      </c>
    </row>
    <row r="148" spans="1:14" x14ac:dyDescent="0.25">
      <c r="A148" t="s">
        <v>354</v>
      </c>
      <c r="B148" s="1">
        <v>46010</v>
      </c>
      <c r="C148" t="s">
        <v>323</v>
      </c>
      <c r="D148" t="s">
        <v>324</v>
      </c>
      <c r="E148" t="s">
        <v>78</v>
      </c>
      <c r="F148" t="s">
        <v>79</v>
      </c>
      <c r="G148">
        <v>3</v>
      </c>
      <c r="H148">
        <v>35.590000000000003</v>
      </c>
      <c r="I148">
        <v>101.43</v>
      </c>
      <c r="J148">
        <v>0.05</v>
      </c>
      <c r="K148">
        <v>38.83</v>
      </c>
      <c r="L148" s="14">
        <f>sales_data[[#This Row],[Profit]]/sales_data[[#This Row],[Sales]]</f>
        <v>0.38282559400571819</v>
      </c>
      <c r="M148" t="s">
        <v>35</v>
      </c>
      <c r="N148" t="s">
        <v>47</v>
      </c>
    </row>
    <row r="149" spans="1:14" x14ac:dyDescent="0.25">
      <c r="A149" t="s">
        <v>355</v>
      </c>
      <c r="B149" s="1">
        <v>45845</v>
      </c>
      <c r="C149" t="s">
        <v>328</v>
      </c>
      <c r="D149" t="s">
        <v>329</v>
      </c>
      <c r="E149" t="s">
        <v>16</v>
      </c>
      <c r="F149" t="s">
        <v>34</v>
      </c>
      <c r="G149">
        <v>5</v>
      </c>
      <c r="H149">
        <v>1060.02</v>
      </c>
      <c r="I149">
        <v>4505.08</v>
      </c>
      <c r="J149">
        <v>0.15</v>
      </c>
      <c r="K149">
        <v>942.11</v>
      </c>
      <c r="L149" s="14">
        <f>sales_data[[#This Row],[Profit]]/sales_data[[#This Row],[Sales]]</f>
        <v>0.20912170261127438</v>
      </c>
      <c r="M149" t="s">
        <v>18</v>
      </c>
      <c r="N149" t="s">
        <v>47</v>
      </c>
    </row>
    <row r="150" spans="1:14" x14ac:dyDescent="0.25">
      <c r="A150" t="s">
        <v>356</v>
      </c>
      <c r="B150" s="1">
        <v>45815</v>
      </c>
      <c r="C150" t="s">
        <v>158</v>
      </c>
      <c r="D150" t="s">
        <v>159</v>
      </c>
      <c r="E150" t="s">
        <v>16</v>
      </c>
      <c r="F150" t="s">
        <v>34</v>
      </c>
      <c r="G150">
        <v>7</v>
      </c>
      <c r="H150">
        <v>26.32</v>
      </c>
      <c r="I150">
        <v>165.82</v>
      </c>
      <c r="J150">
        <v>0.1</v>
      </c>
      <c r="K150">
        <v>31.06</v>
      </c>
      <c r="L150" s="14">
        <f>sales_data[[#This Row],[Profit]]/sales_data[[#This Row],[Sales]]</f>
        <v>0.18731154263659389</v>
      </c>
      <c r="M150" t="s">
        <v>25</v>
      </c>
      <c r="N150" t="s">
        <v>47</v>
      </c>
    </row>
    <row r="151" spans="1:14" x14ac:dyDescent="0.25">
      <c r="A151" t="s">
        <v>357</v>
      </c>
      <c r="B151" s="1">
        <v>45770</v>
      </c>
      <c r="C151" t="s">
        <v>171</v>
      </c>
      <c r="D151" t="s">
        <v>172</v>
      </c>
      <c r="E151" t="s">
        <v>16</v>
      </c>
      <c r="F151" t="s">
        <v>34</v>
      </c>
      <c r="G151">
        <v>1</v>
      </c>
      <c r="H151">
        <v>161.12</v>
      </c>
      <c r="I151">
        <v>153.06</v>
      </c>
      <c r="J151">
        <v>0.05</v>
      </c>
      <c r="K151">
        <v>32.1</v>
      </c>
      <c r="L151" s="14">
        <f>sales_data[[#This Row],[Profit]]/sales_data[[#This Row],[Sales]]</f>
        <v>0.20972167777342218</v>
      </c>
      <c r="M151" t="s">
        <v>35</v>
      </c>
      <c r="N151" t="s">
        <v>58</v>
      </c>
    </row>
    <row r="152" spans="1:14" x14ac:dyDescent="0.25">
      <c r="A152" t="s">
        <v>358</v>
      </c>
      <c r="B152" s="1">
        <v>45731</v>
      </c>
      <c r="C152" t="s">
        <v>171</v>
      </c>
      <c r="D152" t="s">
        <v>172</v>
      </c>
      <c r="E152" t="s">
        <v>16</v>
      </c>
      <c r="F152" t="s">
        <v>34</v>
      </c>
      <c r="G152">
        <v>2</v>
      </c>
      <c r="H152">
        <v>426.7</v>
      </c>
      <c r="I152">
        <v>768.06</v>
      </c>
      <c r="J152">
        <v>0.1</v>
      </c>
      <c r="K152">
        <v>139.82</v>
      </c>
      <c r="L152" s="14">
        <f>sales_data[[#This Row],[Profit]]/sales_data[[#This Row],[Sales]]</f>
        <v>0.18204306955185792</v>
      </c>
      <c r="M152" t="s">
        <v>35</v>
      </c>
      <c r="N152" t="s">
        <v>30</v>
      </c>
    </row>
    <row r="153" spans="1:14" x14ac:dyDescent="0.25">
      <c r="A153" t="s">
        <v>359</v>
      </c>
      <c r="B153" s="1">
        <v>45899</v>
      </c>
      <c r="C153" t="s">
        <v>273</v>
      </c>
      <c r="D153" t="s">
        <v>274</v>
      </c>
      <c r="E153" t="s">
        <v>16</v>
      </c>
      <c r="F153" t="s">
        <v>40</v>
      </c>
      <c r="G153">
        <v>3</v>
      </c>
      <c r="H153">
        <v>220.49</v>
      </c>
      <c r="I153">
        <v>595.32000000000005</v>
      </c>
      <c r="J153">
        <v>0.1</v>
      </c>
      <c r="K153">
        <v>112.36</v>
      </c>
      <c r="L153" s="14">
        <f>sales_data[[#This Row],[Profit]]/sales_data[[#This Row],[Sales]]</f>
        <v>0.18873882953705567</v>
      </c>
      <c r="M153" t="s">
        <v>46</v>
      </c>
      <c r="N153" t="s">
        <v>36</v>
      </c>
    </row>
    <row r="154" spans="1:14" x14ac:dyDescent="0.25">
      <c r="A154" t="s">
        <v>360</v>
      </c>
      <c r="B154" s="1">
        <v>45867</v>
      </c>
      <c r="C154" t="s">
        <v>139</v>
      </c>
      <c r="D154" t="s">
        <v>140</v>
      </c>
      <c r="E154" t="s">
        <v>16</v>
      </c>
      <c r="F154" t="s">
        <v>34</v>
      </c>
      <c r="G154">
        <v>6</v>
      </c>
      <c r="H154">
        <v>1168.8499999999999</v>
      </c>
      <c r="I154">
        <v>5610.48</v>
      </c>
      <c r="J154">
        <v>0.2</v>
      </c>
      <c r="K154">
        <v>1052.02</v>
      </c>
      <c r="L154" s="14">
        <f>sales_data[[#This Row],[Profit]]/sales_data[[#This Row],[Sales]]</f>
        <v>0.18750980308280218</v>
      </c>
      <c r="M154" t="s">
        <v>18</v>
      </c>
      <c r="N154" t="s">
        <v>30</v>
      </c>
    </row>
    <row r="155" spans="1:14" x14ac:dyDescent="0.25">
      <c r="A155" t="s">
        <v>361</v>
      </c>
      <c r="B155" s="1">
        <v>45690</v>
      </c>
      <c r="C155" t="s">
        <v>248</v>
      </c>
      <c r="D155" t="s">
        <v>249</v>
      </c>
      <c r="E155" t="s">
        <v>23</v>
      </c>
      <c r="F155" t="s">
        <v>196</v>
      </c>
      <c r="G155">
        <v>7</v>
      </c>
      <c r="H155">
        <v>40.630000000000003</v>
      </c>
      <c r="I155">
        <v>255.97</v>
      </c>
      <c r="J155">
        <v>0.1</v>
      </c>
      <c r="K155">
        <v>107.38</v>
      </c>
      <c r="L155" s="14">
        <f>sales_data[[#This Row],[Profit]]/sales_data[[#This Row],[Sales]]</f>
        <v>0.41950228542407314</v>
      </c>
      <c r="M155" t="s">
        <v>46</v>
      </c>
      <c r="N155" t="s">
        <v>47</v>
      </c>
    </row>
    <row r="156" spans="1:14" x14ac:dyDescent="0.25">
      <c r="A156" t="s">
        <v>362</v>
      </c>
      <c r="B156" s="1">
        <v>45661</v>
      </c>
      <c r="C156" t="s">
        <v>312</v>
      </c>
      <c r="D156" t="s">
        <v>313</v>
      </c>
      <c r="E156" t="s">
        <v>16</v>
      </c>
      <c r="F156" t="s">
        <v>17</v>
      </c>
      <c r="G156">
        <v>3</v>
      </c>
      <c r="H156">
        <v>555.38</v>
      </c>
      <c r="I156">
        <v>1666.14</v>
      </c>
      <c r="J156">
        <v>0</v>
      </c>
      <c r="K156">
        <v>310.16000000000003</v>
      </c>
      <c r="L156" s="14">
        <f>sales_data[[#This Row],[Profit]]/sales_data[[#This Row],[Sales]]</f>
        <v>0.18615482492467619</v>
      </c>
      <c r="M156" t="s">
        <v>35</v>
      </c>
      <c r="N156" t="s">
        <v>58</v>
      </c>
    </row>
    <row r="157" spans="1:14" x14ac:dyDescent="0.25">
      <c r="A157" t="s">
        <v>363</v>
      </c>
      <c r="B157" s="1">
        <v>45832</v>
      </c>
      <c r="C157" t="s">
        <v>155</v>
      </c>
      <c r="D157" t="s">
        <v>156</v>
      </c>
      <c r="E157" t="s">
        <v>16</v>
      </c>
      <c r="F157" t="s">
        <v>89</v>
      </c>
      <c r="G157">
        <v>4</v>
      </c>
      <c r="H157">
        <v>794.05</v>
      </c>
      <c r="I157">
        <v>3176.2</v>
      </c>
      <c r="J157">
        <v>0</v>
      </c>
      <c r="K157">
        <v>576.4</v>
      </c>
      <c r="L157" s="14">
        <f>sales_data[[#This Row],[Profit]]/sales_data[[#This Row],[Sales]]</f>
        <v>0.181474718216737</v>
      </c>
      <c r="M157" t="s">
        <v>25</v>
      </c>
      <c r="N157" t="s">
        <v>30</v>
      </c>
    </row>
    <row r="158" spans="1:14" x14ac:dyDescent="0.25">
      <c r="A158" t="s">
        <v>364</v>
      </c>
      <c r="B158" s="1">
        <v>45741</v>
      </c>
      <c r="C158" t="s">
        <v>248</v>
      </c>
      <c r="D158" t="s">
        <v>249</v>
      </c>
      <c r="E158" t="s">
        <v>23</v>
      </c>
      <c r="F158" t="s">
        <v>196</v>
      </c>
      <c r="G158">
        <v>3</v>
      </c>
      <c r="H158">
        <v>24.11</v>
      </c>
      <c r="I158">
        <v>57.86</v>
      </c>
      <c r="J158">
        <v>0.2</v>
      </c>
      <c r="K158">
        <v>24.75</v>
      </c>
      <c r="L158" s="14">
        <f>sales_data[[#This Row],[Profit]]/sales_data[[#This Row],[Sales]]</f>
        <v>0.42775665399239543</v>
      </c>
      <c r="M158" t="s">
        <v>25</v>
      </c>
      <c r="N158" t="s">
        <v>47</v>
      </c>
    </row>
    <row r="159" spans="1:14" x14ac:dyDescent="0.25">
      <c r="A159" t="s">
        <v>365</v>
      </c>
      <c r="B159" s="1">
        <v>45938</v>
      </c>
      <c r="C159" t="s">
        <v>84</v>
      </c>
      <c r="D159" t="s">
        <v>85</v>
      </c>
      <c r="E159" t="s">
        <v>16</v>
      </c>
      <c r="F159" t="s">
        <v>71</v>
      </c>
      <c r="G159">
        <v>4</v>
      </c>
      <c r="H159">
        <v>686.23</v>
      </c>
      <c r="I159">
        <v>2607.67</v>
      </c>
      <c r="J159">
        <v>0.05</v>
      </c>
      <c r="K159">
        <v>505.11</v>
      </c>
      <c r="L159" s="14">
        <f>sales_data[[#This Row],[Profit]]/sales_data[[#This Row],[Sales]]</f>
        <v>0.1937016570348242</v>
      </c>
      <c r="M159" t="s">
        <v>25</v>
      </c>
      <c r="N159" t="s">
        <v>36</v>
      </c>
    </row>
    <row r="160" spans="1:14" x14ac:dyDescent="0.25">
      <c r="A160" t="s">
        <v>366</v>
      </c>
      <c r="B160" s="1">
        <v>45665</v>
      </c>
      <c r="C160" t="s">
        <v>367</v>
      </c>
      <c r="D160" t="s">
        <v>368</v>
      </c>
      <c r="E160" t="s">
        <v>78</v>
      </c>
      <c r="F160" t="s">
        <v>194</v>
      </c>
      <c r="G160">
        <v>3</v>
      </c>
      <c r="H160">
        <v>153.30000000000001</v>
      </c>
      <c r="I160">
        <v>413.91</v>
      </c>
      <c r="J160">
        <v>0.1</v>
      </c>
      <c r="K160">
        <v>153.65</v>
      </c>
      <c r="L160" s="14">
        <f>sales_data[[#This Row],[Profit]]/sales_data[[#This Row],[Sales]]</f>
        <v>0.37121596482327074</v>
      </c>
      <c r="M160" t="s">
        <v>25</v>
      </c>
      <c r="N160" t="s">
        <v>30</v>
      </c>
    </row>
    <row r="161" spans="1:14" x14ac:dyDescent="0.25">
      <c r="A161" t="s">
        <v>369</v>
      </c>
      <c r="B161" s="1">
        <v>45703</v>
      </c>
      <c r="C161" t="s">
        <v>370</v>
      </c>
      <c r="D161" t="s">
        <v>371</v>
      </c>
      <c r="E161" t="s">
        <v>16</v>
      </c>
      <c r="F161" t="s">
        <v>40</v>
      </c>
      <c r="G161">
        <v>1</v>
      </c>
      <c r="H161">
        <v>26.45</v>
      </c>
      <c r="I161">
        <v>23.8</v>
      </c>
      <c r="J161">
        <v>0.1</v>
      </c>
      <c r="K161">
        <v>4.5599999999999996</v>
      </c>
      <c r="L161" s="14">
        <f>sales_data[[#This Row],[Profit]]/sales_data[[#This Row],[Sales]]</f>
        <v>0.19159663865546217</v>
      </c>
      <c r="M161" t="s">
        <v>25</v>
      </c>
      <c r="N161" t="s">
        <v>30</v>
      </c>
    </row>
    <row r="162" spans="1:14" x14ac:dyDescent="0.25">
      <c r="A162" t="s">
        <v>372</v>
      </c>
      <c r="B162" s="1">
        <v>45976</v>
      </c>
      <c r="C162" t="s">
        <v>73</v>
      </c>
      <c r="D162" t="s">
        <v>74</v>
      </c>
      <c r="E162" t="s">
        <v>44</v>
      </c>
      <c r="F162" t="s">
        <v>110</v>
      </c>
      <c r="G162">
        <v>6</v>
      </c>
      <c r="H162">
        <v>248.37</v>
      </c>
      <c r="I162">
        <v>1341.2</v>
      </c>
      <c r="J162">
        <v>0.1</v>
      </c>
      <c r="K162">
        <v>398.34</v>
      </c>
      <c r="L162" s="14">
        <f>sales_data[[#This Row],[Profit]]/sales_data[[#This Row],[Sales]]</f>
        <v>0.29700268416343573</v>
      </c>
      <c r="M162" t="s">
        <v>25</v>
      </c>
      <c r="N162" t="s">
        <v>19</v>
      </c>
    </row>
    <row r="163" spans="1:14" x14ac:dyDescent="0.25">
      <c r="A163" t="s">
        <v>373</v>
      </c>
      <c r="B163" s="1">
        <v>45931</v>
      </c>
      <c r="C163" t="s">
        <v>374</v>
      </c>
      <c r="D163" t="s">
        <v>375</v>
      </c>
      <c r="E163" t="s">
        <v>16</v>
      </c>
      <c r="F163" t="s">
        <v>17</v>
      </c>
      <c r="G163">
        <v>2</v>
      </c>
      <c r="H163">
        <v>588.92999999999995</v>
      </c>
      <c r="I163">
        <v>1060.07</v>
      </c>
      <c r="J163">
        <v>0.1</v>
      </c>
      <c r="K163">
        <v>213.34</v>
      </c>
      <c r="L163" s="14">
        <f>sales_data[[#This Row],[Profit]]/sales_data[[#This Row],[Sales]]</f>
        <v>0.20125086079221186</v>
      </c>
      <c r="M163" t="s">
        <v>35</v>
      </c>
      <c r="N163" t="s">
        <v>36</v>
      </c>
    </row>
    <row r="164" spans="1:14" x14ac:dyDescent="0.25">
      <c r="A164" t="s">
        <v>376</v>
      </c>
      <c r="B164" s="1">
        <v>45924</v>
      </c>
      <c r="C164" t="s">
        <v>73</v>
      </c>
      <c r="D164" t="s">
        <v>74</v>
      </c>
      <c r="E164" t="s">
        <v>78</v>
      </c>
      <c r="F164" t="s">
        <v>255</v>
      </c>
      <c r="G164">
        <v>3</v>
      </c>
      <c r="H164">
        <v>26.05</v>
      </c>
      <c r="I164">
        <v>78.150000000000006</v>
      </c>
      <c r="J164">
        <v>0</v>
      </c>
      <c r="K164">
        <v>28.17</v>
      </c>
      <c r="L164" s="14">
        <f>sales_data[[#This Row],[Profit]]/sales_data[[#This Row],[Sales]]</f>
        <v>0.36046065259117083</v>
      </c>
      <c r="M164" t="s">
        <v>25</v>
      </c>
      <c r="N164" t="s">
        <v>30</v>
      </c>
    </row>
    <row r="165" spans="1:14" x14ac:dyDescent="0.25">
      <c r="A165" t="s">
        <v>377</v>
      </c>
      <c r="B165" s="1">
        <v>45899</v>
      </c>
      <c r="C165" t="s">
        <v>378</v>
      </c>
      <c r="D165" t="s">
        <v>379</v>
      </c>
      <c r="E165" t="s">
        <v>23</v>
      </c>
      <c r="F165" t="s">
        <v>29</v>
      </c>
      <c r="G165">
        <v>2</v>
      </c>
      <c r="H165">
        <v>44.14</v>
      </c>
      <c r="I165">
        <v>75.040000000000006</v>
      </c>
      <c r="J165">
        <v>0.15</v>
      </c>
      <c r="K165">
        <v>32.83</v>
      </c>
      <c r="L165" s="14">
        <f>sales_data[[#This Row],[Profit]]/sales_data[[#This Row],[Sales]]</f>
        <v>0.43749999999999994</v>
      </c>
      <c r="M165" t="s">
        <v>35</v>
      </c>
      <c r="N165" t="s">
        <v>30</v>
      </c>
    </row>
    <row r="166" spans="1:14" x14ac:dyDescent="0.25">
      <c r="A166" t="s">
        <v>380</v>
      </c>
      <c r="B166" s="1">
        <v>45823</v>
      </c>
      <c r="C166" t="s">
        <v>381</v>
      </c>
      <c r="D166" t="s">
        <v>382</v>
      </c>
      <c r="E166" t="s">
        <v>16</v>
      </c>
      <c r="F166" t="s">
        <v>89</v>
      </c>
      <c r="G166">
        <v>2</v>
      </c>
      <c r="H166">
        <v>835.12</v>
      </c>
      <c r="I166">
        <v>1419.7</v>
      </c>
      <c r="J166">
        <v>0.15</v>
      </c>
      <c r="K166">
        <v>289.61</v>
      </c>
      <c r="L166" s="14">
        <f>sales_data[[#This Row],[Profit]]/sales_data[[#This Row],[Sales]]</f>
        <v>0.20399380150736071</v>
      </c>
      <c r="M166" t="s">
        <v>18</v>
      </c>
      <c r="N166" t="s">
        <v>30</v>
      </c>
    </row>
    <row r="167" spans="1:14" x14ac:dyDescent="0.25">
      <c r="A167" t="s">
        <v>383</v>
      </c>
      <c r="B167" s="1">
        <v>45974</v>
      </c>
      <c r="C167" t="s">
        <v>101</v>
      </c>
      <c r="D167" t="s">
        <v>102</v>
      </c>
      <c r="E167" t="s">
        <v>16</v>
      </c>
      <c r="F167" t="s">
        <v>34</v>
      </c>
      <c r="G167">
        <v>3</v>
      </c>
      <c r="H167">
        <v>62.11</v>
      </c>
      <c r="I167">
        <v>158.38</v>
      </c>
      <c r="J167">
        <v>0.15</v>
      </c>
      <c r="K167">
        <v>33.01</v>
      </c>
      <c r="L167" s="14">
        <f>sales_data[[#This Row],[Profit]]/sales_data[[#This Row],[Sales]]</f>
        <v>0.20842278065412298</v>
      </c>
      <c r="M167" t="s">
        <v>25</v>
      </c>
      <c r="N167" t="s">
        <v>36</v>
      </c>
    </row>
    <row r="168" spans="1:14" x14ac:dyDescent="0.25">
      <c r="A168" t="s">
        <v>384</v>
      </c>
      <c r="B168" s="1">
        <v>46005</v>
      </c>
      <c r="C168" t="s">
        <v>335</v>
      </c>
      <c r="D168" t="s">
        <v>336</v>
      </c>
      <c r="E168" t="s">
        <v>23</v>
      </c>
      <c r="F168" t="s">
        <v>29</v>
      </c>
      <c r="G168">
        <v>4</v>
      </c>
      <c r="H168">
        <v>29.14</v>
      </c>
      <c r="I168">
        <v>99.08</v>
      </c>
      <c r="J168">
        <v>0.15</v>
      </c>
      <c r="K168">
        <v>43.36</v>
      </c>
      <c r="L168" s="14">
        <f>sales_data[[#This Row],[Profit]]/sales_data[[#This Row],[Sales]]</f>
        <v>0.43762616067823978</v>
      </c>
      <c r="M168" t="s">
        <v>25</v>
      </c>
      <c r="N168" t="s">
        <v>30</v>
      </c>
    </row>
    <row r="169" spans="1:14" x14ac:dyDescent="0.25">
      <c r="A169" t="s">
        <v>385</v>
      </c>
      <c r="B169" s="1">
        <v>45660</v>
      </c>
      <c r="C169" t="s">
        <v>386</v>
      </c>
      <c r="D169" t="s">
        <v>387</v>
      </c>
      <c r="E169" t="s">
        <v>23</v>
      </c>
      <c r="F169" t="s">
        <v>29</v>
      </c>
      <c r="G169">
        <v>4</v>
      </c>
      <c r="H169">
        <v>59.33</v>
      </c>
      <c r="I169">
        <v>237.32</v>
      </c>
      <c r="J169">
        <v>0</v>
      </c>
      <c r="K169">
        <v>103.99</v>
      </c>
      <c r="L169" s="14">
        <f>sales_data[[#This Row],[Profit]]/sales_data[[#This Row],[Sales]]</f>
        <v>0.43818472947918419</v>
      </c>
      <c r="M169" t="s">
        <v>18</v>
      </c>
      <c r="N169" t="s">
        <v>30</v>
      </c>
    </row>
    <row r="170" spans="1:14" x14ac:dyDescent="0.25">
      <c r="A170" t="s">
        <v>388</v>
      </c>
      <c r="B170" s="1">
        <v>45900</v>
      </c>
      <c r="C170" t="s">
        <v>307</v>
      </c>
      <c r="D170" t="s">
        <v>308</v>
      </c>
      <c r="E170" t="s">
        <v>16</v>
      </c>
      <c r="F170" t="s">
        <v>17</v>
      </c>
      <c r="G170">
        <v>7</v>
      </c>
      <c r="H170">
        <v>577.46</v>
      </c>
      <c r="I170">
        <v>3638</v>
      </c>
      <c r="J170">
        <v>0.1</v>
      </c>
      <c r="K170">
        <v>668.83</v>
      </c>
      <c r="L170" s="14">
        <f>sales_data[[#This Row],[Profit]]/sales_data[[#This Row],[Sales]]</f>
        <v>0.18384551951621772</v>
      </c>
      <c r="M170" t="s">
        <v>35</v>
      </c>
      <c r="N170" t="s">
        <v>58</v>
      </c>
    </row>
    <row r="171" spans="1:14" x14ac:dyDescent="0.25">
      <c r="A171" t="s">
        <v>389</v>
      </c>
      <c r="B171" s="1">
        <v>45868</v>
      </c>
      <c r="C171" t="s">
        <v>390</v>
      </c>
      <c r="D171" t="s">
        <v>391</v>
      </c>
      <c r="E171" t="s">
        <v>16</v>
      </c>
      <c r="F171" t="s">
        <v>89</v>
      </c>
      <c r="G171">
        <v>5</v>
      </c>
      <c r="H171">
        <v>1195.69</v>
      </c>
      <c r="I171">
        <v>4782.76</v>
      </c>
      <c r="J171">
        <v>0.2</v>
      </c>
      <c r="K171">
        <v>911.07</v>
      </c>
      <c r="L171" s="14">
        <f>sales_data[[#This Row],[Profit]]/sales_data[[#This Row],[Sales]]</f>
        <v>0.19049042812100125</v>
      </c>
      <c r="M171" t="s">
        <v>46</v>
      </c>
      <c r="N171" t="s">
        <v>58</v>
      </c>
    </row>
    <row r="172" spans="1:14" x14ac:dyDescent="0.25">
      <c r="A172" t="s">
        <v>392</v>
      </c>
      <c r="B172" s="1">
        <v>45864</v>
      </c>
      <c r="C172" t="s">
        <v>378</v>
      </c>
      <c r="D172" t="s">
        <v>379</v>
      </c>
      <c r="E172" t="s">
        <v>23</v>
      </c>
      <c r="F172" t="s">
        <v>196</v>
      </c>
      <c r="G172">
        <v>7</v>
      </c>
      <c r="H172">
        <v>38.619999999999997</v>
      </c>
      <c r="I172">
        <v>229.79</v>
      </c>
      <c r="J172">
        <v>0.15</v>
      </c>
      <c r="K172">
        <v>96.09</v>
      </c>
      <c r="L172" s="14">
        <f>sales_data[[#This Row],[Profit]]/sales_data[[#This Row],[Sales]]</f>
        <v>0.41816441098394191</v>
      </c>
      <c r="M172" t="s">
        <v>35</v>
      </c>
      <c r="N172" t="s">
        <v>30</v>
      </c>
    </row>
    <row r="173" spans="1:14" x14ac:dyDescent="0.25">
      <c r="A173" t="s">
        <v>393</v>
      </c>
      <c r="B173" s="1">
        <v>46021</v>
      </c>
      <c r="C173" t="s">
        <v>394</v>
      </c>
      <c r="D173" t="s">
        <v>395</v>
      </c>
      <c r="E173" t="s">
        <v>23</v>
      </c>
      <c r="F173" t="s">
        <v>281</v>
      </c>
      <c r="G173">
        <v>4</v>
      </c>
      <c r="H173">
        <v>6.09</v>
      </c>
      <c r="I173">
        <v>20.71</v>
      </c>
      <c r="J173">
        <v>0.15</v>
      </c>
      <c r="K173">
        <v>8.75</v>
      </c>
      <c r="L173" s="14">
        <f>sales_data[[#This Row],[Profit]]/sales_data[[#This Row],[Sales]]</f>
        <v>0.42250120714630612</v>
      </c>
      <c r="M173" t="s">
        <v>25</v>
      </c>
      <c r="N173" t="s">
        <v>47</v>
      </c>
    </row>
    <row r="174" spans="1:14" x14ac:dyDescent="0.25">
      <c r="A174" t="s">
        <v>396</v>
      </c>
      <c r="B174" s="1">
        <v>45723</v>
      </c>
      <c r="C174" t="s">
        <v>367</v>
      </c>
      <c r="D174" t="s">
        <v>368</v>
      </c>
      <c r="E174" t="s">
        <v>23</v>
      </c>
      <c r="F174" t="s">
        <v>281</v>
      </c>
      <c r="G174">
        <v>2</v>
      </c>
      <c r="H174">
        <v>64.06</v>
      </c>
      <c r="I174">
        <v>115.31</v>
      </c>
      <c r="J174">
        <v>0.1</v>
      </c>
      <c r="K174">
        <v>47.3</v>
      </c>
      <c r="L174" s="14">
        <f>sales_data[[#This Row],[Profit]]/sales_data[[#This Row],[Sales]]</f>
        <v>0.41019859509149248</v>
      </c>
      <c r="M174" t="s">
        <v>46</v>
      </c>
      <c r="N174" t="s">
        <v>19</v>
      </c>
    </row>
    <row r="175" spans="1:14" x14ac:dyDescent="0.25">
      <c r="A175" t="s">
        <v>397</v>
      </c>
      <c r="B175" s="1">
        <v>45675</v>
      </c>
      <c r="C175" t="s">
        <v>147</v>
      </c>
      <c r="D175" t="s">
        <v>148</v>
      </c>
      <c r="E175" t="s">
        <v>16</v>
      </c>
      <c r="F175" t="s">
        <v>17</v>
      </c>
      <c r="G175">
        <v>5</v>
      </c>
      <c r="H175">
        <v>886.41</v>
      </c>
      <c r="I175">
        <v>4432.05</v>
      </c>
      <c r="J175">
        <v>0</v>
      </c>
      <c r="K175">
        <v>835.55</v>
      </c>
      <c r="L175" s="14">
        <f>sales_data[[#This Row],[Profit]]/sales_data[[#This Row],[Sales]]</f>
        <v>0.18852449769294116</v>
      </c>
      <c r="M175" t="s">
        <v>25</v>
      </c>
      <c r="N175" t="s">
        <v>47</v>
      </c>
    </row>
    <row r="176" spans="1:14" x14ac:dyDescent="0.25">
      <c r="A176" t="s">
        <v>398</v>
      </c>
      <c r="B176" s="1">
        <v>45950</v>
      </c>
      <c r="C176" t="s">
        <v>399</v>
      </c>
      <c r="D176" t="s">
        <v>400</v>
      </c>
      <c r="E176" t="s">
        <v>16</v>
      </c>
      <c r="F176" t="s">
        <v>89</v>
      </c>
      <c r="G176">
        <v>6</v>
      </c>
      <c r="H176">
        <v>603.42999999999995</v>
      </c>
      <c r="I176">
        <v>3620.58</v>
      </c>
      <c r="J176">
        <v>0</v>
      </c>
      <c r="K176">
        <v>665.74</v>
      </c>
      <c r="L176" s="14">
        <f>sales_data[[#This Row],[Profit]]/sales_data[[#This Row],[Sales]]</f>
        <v>0.18387661645371736</v>
      </c>
      <c r="M176" t="s">
        <v>18</v>
      </c>
      <c r="N176" t="s">
        <v>36</v>
      </c>
    </row>
    <row r="177" spans="1:14" x14ac:dyDescent="0.25">
      <c r="A177" t="s">
        <v>401</v>
      </c>
      <c r="B177" s="1">
        <v>46002</v>
      </c>
      <c r="C177" t="s">
        <v>402</v>
      </c>
      <c r="D177" t="s">
        <v>403</v>
      </c>
      <c r="E177" t="s">
        <v>23</v>
      </c>
      <c r="F177" t="s">
        <v>117</v>
      </c>
      <c r="G177">
        <v>2</v>
      </c>
      <c r="H177">
        <v>69.06</v>
      </c>
      <c r="I177">
        <v>138.12</v>
      </c>
      <c r="J177">
        <v>0</v>
      </c>
      <c r="K177">
        <v>58.33</v>
      </c>
      <c r="L177" s="14">
        <f>sales_data[[#This Row],[Profit]]/sales_data[[#This Row],[Sales]]</f>
        <v>0.42231392991601502</v>
      </c>
      <c r="M177" t="s">
        <v>25</v>
      </c>
      <c r="N177" t="s">
        <v>30</v>
      </c>
    </row>
    <row r="178" spans="1:14" x14ac:dyDescent="0.25">
      <c r="A178" t="s">
        <v>404</v>
      </c>
      <c r="B178" s="1">
        <v>45667</v>
      </c>
      <c r="C178" t="s">
        <v>101</v>
      </c>
      <c r="D178" t="s">
        <v>102</v>
      </c>
      <c r="E178" t="s">
        <v>78</v>
      </c>
      <c r="F178" t="s">
        <v>106</v>
      </c>
      <c r="G178">
        <v>6</v>
      </c>
      <c r="H178">
        <v>37.200000000000003</v>
      </c>
      <c r="I178">
        <v>212.04</v>
      </c>
      <c r="J178">
        <v>0.05</v>
      </c>
      <c r="K178">
        <v>80.55</v>
      </c>
      <c r="L178" s="14">
        <f>sales_data[[#This Row],[Profit]]/sales_data[[#This Row],[Sales]]</f>
        <v>0.37988115449915111</v>
      </c>
      <c r="M178" t="s">
        <v>46</v>
      </c>
      <c r="N178" t="s">
        <v>36</v>
      </c>
    </row>
    <row r="179" spans="1:14" x14ac:dyDescent="0.25">
      <c r="A179" t="s">
        <v>405</v>
      </c>
      <c r="B179" s="1">
        <v>45921</v>
      </c>
      <c r="C179" t="s">
        <v>406</v>
      </c>
      <c r="D179" t="s">
        <v>407</v>
      </c>
      <c r="E179" t="s">
        <v>44</v>
      </c>
      <c r="F179" t="s">
        <v>45</v>
      </c>
      <c r="G179">
        <v>4</v>
      </c>
      <c r="H179">
        <v>503.54</v>
      </c>
      <c r="I179">
        <v>2014.16</v>
      </c>
      <c r="J179">
        <v>0</v>
      </c>
      <c r="K179">
        <v>614.26</v>
      </c>
      <c r="L179" s="14">
        <f>sales_data[[#This Row],[Profit]]/sales_data[[#This Row],[Sales]]</f>
        <v>0.3049708066886444</v>
      </c>
      <c r="M179" t="s">
        <v>35</v>
      </c>
      <c r="N179" t="s">
        <v>58</v>
      </c>
    </row>
    <row r="180" spans="1:14" x14ac:dyDescent="0.25">
      <c r="A180" t="s">
        <v>408</v>
      </c>
      <c r="B180" s="1">
        <v>45861</v>
      </c>
      <c r="C180" t="s">
        <v>132</v>
      </c>
      <c r="D180" t="s">
        <v>133</v>
      </c>
      <c r="E180" t="s">
        <v>23</v>
      </c>
      <c r="F180" t="s">
        <v>196</v>
      </c>
      <c r="G180">
        <v>1</v>
      </c>
      <c r="H180">
        <v>68</v>
      </c>
      <c r="I180">
        <v>57.8</v>
      </c>
      <c r="J180">
        <v>0.15</v>
      </c>
      <c r="K180">
        <v>24.42</v>
      </c>
      <c r="L180" s="14">
        <f>sales_data[[#This Row],[Profit]]/sales_data[[#This Row],[Sales]]</f>
        <v>0.42249134948096889</v>
      </c>
      <c r="M180" t="s">
        <v>18</v>
      </c>
      <c r="N180" t="s">
        <v>30</v>
      </c>
    </row>
    <row r="181" spans="1:14" x14ac:dyDescent="0.25">
      <c r="A181" t="s">
        <v>409</v>
      </c>
      <c r="B181" s="1">
        <v>45991</v>
      </c>
      <c r="C181" t="s">
        <v>410</v>
      </c>
      <c r="D181" t="s">
        <v>411</v>
      </c>
      <c r="E181" t="s">
        <v>44</v>
      </c>
      <c r="F181" t="s">
        <v>45</v>
      </c>
      <c r="G181">
        <v>1</v>
      </c>
      <c r="H181">
        <v>385.88</v>
      </c>
      <c r="I181">
        <v>328</v>
      </c>
      <c r="J181">
        <v>0.15</v>
      </c>
      <c r="K181">
        <v>101.29</v>
      </c>
      <c r="L181" s="14">
        <f>sales_data[[#This Row],[Profit]]/sales_data[[#This Row],[Sales]]</f>
        <v>0.30881097560975612</v>
      </c>
      <c r="M181" t="s">
        <v>18</v>
      </c>
      <c r="N181" t="s">
        <v>58</v>
      </c>
    </row>
    <row r="182" spans="1:14" x14ac:dyDescent="0.25">
      <c r="A182" t="s">
        <v>412</v>
      </c>
      <c r="B182" s="1">
        <v>45716</v>
      </c>
      <c r="C182" t="s">
        <v>399</v>
      </c>
      <c r="D182" t="s">
        <v>400</v>
      </c>
      <c r="E182" t="s">
        <v>44</v>
      </c>
      <c r="F182" t="s">
        <v>51</v>
      </c>
      <c r="G182">
        <v>1</v>
      </c>
      <c r="H182">
        <v>369.85</v>
      </c>
      <c r="I182">
        <v>369.85</v>
      </c>
      <c r="J182">
        <v>0</v>
      </c>
      <c r="K182">
        <v>113.01</v>
      </c>
      <c r="L182" s="14">
        <f>sales_data[[#This Row],[Profit]]/sales_data[[#This Row],[Sales]]</f>
        <v>0.30555630661078814</v>
      </c>
      <c r="M182" t="s">
        <v>35</v>
      </c>
      <c r="N182" t="s">
        <v>47</v>
      </c>
    </row>
    <row r="183" spans="1:14" x14ac:dyDescent="0.25">
      <c r="A183" t="s">
        <v>413</v>
      </c>
      <c r="B183" s="1">
        <v>45783</v>
      </c>
      <c r="C183" t="s">
        <v>125</v>
      </c>
      <c r="D183" t="s">
        <v>126</v>
      </c>
      <c r="E183" t="s">
        <v>78</v>
      </c>
      <c r="F183" t="s">
        <v>106</v>
      </c>
      <c r="G183">
        <v>1</v>
      </c>
      <c r="H183">
        <v>117.93</v>
      </c>
      <c r="I183">
        <v>100.24</v>
      </c>
      <c r="J183">
        <v>0.15</v>
      </c>
      <c r="K183">
        <v>37.729999999999997</v>
      </c>
      <c r="L183" s="14">
        <f>sales_data[[#This Row],[Profit]]/sales_data[[#This Row],[Sales]]</f>
        <v>0.37639664804469275</v>
      </c>
      <c r="M183" t="s">
        <v>18</v>
      </c>
      <c r="N183" t="s">
        <v>58</v>
      </c>
    </row>
    <row r="184" spans="1:14" x14ac:dyDescent="0.25">
      <c r="A184" t="s">
        <v>414</v>
      </c>
      <c r="B184" s="1">
        <v>45951</v>
      </c>
      <c r="C184" t="s">
        <v>338</v>
      </c>
      <c r="D184" t="s">
        <v>339</v>
      </c>
      <c r="E184" t="s">
        <v>44</v>
      </c>
      <c r="F184" t="s">
        <v>45</v>
      </c>
      <c r="G184">
        <v>7</v>
      </c>
      <c r="H184">
        <v>50.08</v>
      </c>
      <c r="I184">
        <v>333.03</v>
      </c>
      <c r="J184">
        <v>0.05</v>
      </c>
      <c r="K184">
        <v>96.2</v>
      </c>
      <c r="L184" s="14">
        <f>sales_data[[#This Row],[Profit]]/sales_data[[#This Row],[Sales]]</f>
        <v>0.28886286520733873</v>
      </c>
      <c r="M184" t="s">
        <v>46</v>
      </c>
      <c r="N184" t="s">
        <v>30</v>
      </c>
    </row>
    <row r="185" spans="1:14" x14ac:dyDescent="0.25">
      <c r="A185" t="s">
        <v>415</v>
      </c>
      <c r="B185" s="1">
        <v>45998</v>
      </c>
      <c r="C185" t="s">
        <v>108</v>
      </c>
      <c r="D185" t="s">
        <v>109</v>
      </c>
      <c r="E185" t="s">
        <v>23</v>
      </c>
      <c r="F185" t="s">
        <v>29</v>
      </c>
      <c r="G185">
        <v>7</v>
      </c>
      <c r="H185">
        <v>54.79</v>
      </c>
      <c r="I185">
        <v>364.35</v>
      </c>
      <c r="J185">
        <v>0.05</v>
      </c>
      <c r="K185">
        <v>150.82</v>
      </c>
      <c r="L185" s="14">
        <f>sales_data[[#This Row],[Profit]]/sales_data[[#This Row],[Sales]]</f>
        <v>0.41394263757376143</v>
      </c>
      <c r="M185" t="s">
        <v>46</v>
      </c>
      <c r="N185" t="s">
        <v>47</v>
      </c>
    </row>
    <row r="186" spans="1:14" x14ac:dyDescent="0.25">
      <c r="A186" t="s">
        <v>416</v>
      </c>
      <c r="B186" s="1">
        <v>45771</v>
      </c>
      <c r="C186" t="s">
        <v>417</v>
      </c>
      <c r="D186" t="s">
        <v>418</v>
      </c>
      <c r="E186" t="s">
        <v>23</v>
      </c>
      <c r="F186" t="s">
        <v>29</v>
      </c>
      <c r="G186">
        <v>1</v>
      </c>
      <c r="H186">
        <v>66.98</v>
      </c>
      <c r="I186">
        <v>56.93</v>
      </c>
      <c r="J186">
        <v>0.15</v>
      </c>
      <c r="K186">
        <v>23.74</v>
      </c>
      <c r="L186" s="14">
        <f>sales_data[[#This Row],[Profit]]/sales_data[[#This Row],[Sales]]</f>
        <v>0.41700333743193391</v>
      </c>
      <c r="M186" t="s">
        <v>18</v>
      </c>
      <c r="N186" t="s">
        <v>36</v>
      </c>
    </row>
    <row r="187" spans="1:14" x14ac:dyDescent="0.25">
      <c r="A187" t="s">
        <v>419</v>
      </c>
      <c r="B187" s="1">
        <v>45658</v>
      </c>
      <c r="C187" t="s">
        <v>307</v>
      </c>
      <c r="D187" t="s">
        <v>308</v>
      </c>
      <c r="E187" t="s">
        <v>23</v>
      </c>
      <c r="F187" t="s">
        <v>117</v>
      </c>
      <c r="G187">
        <v>7</v>
      </c>
      <c r="H187">
        <v>53.73</v>
      </c>
      <c r="I187">
        <v>357.3</v>
      </c>
      <c r="J187">
        <v>0.05</v>
      </c>
      <c r="K187">
        <v>150.22999999999999</v>
      </c>
      <c r="L187" s="14">
        <f>sales_data[[#This Row],[Profit]]/sales_data[[#This Row],[Sales]]</f>
        <v>0.42045899804086195</v>
      </c>
      <c r="M187" t="s">
        <v>46</v>
      </c>
      <c r="N187" t="s">
        <v>30</v>
      </c>
    </row>
    <row r="188" spans="1:14" x14ac:dyDescent="0.25">
      <c r="A188" t="s">
        <v>420</v>
      </c>
      <c r="B188" s="1">
        <v>45818</v>
      </c>
      <c r="C188" t="s">
        <v>386</v>
      </c>
      <c r="D188" t="s">
        <v>387</v>
      </c>
      <c r="E188" t="s">
        <v>16</v>
      </c>
      <c r="F188" t="s">
        <v>71</v>
      </c>
      <c r="G188">
        <v>1</v>
      </c>
      <c r="H188">
        <v>1048.1400000000001</v>
      </c>
      <c r="I188">
        <v>943.33</v>
      </c>
      <c r="J188">
        <v>0.1</v>
      </c>
      <c r="K188">
        <v>182.05</v>
      </c>
      <c r="L188" s="14">
        <f>sales_data[[#This Row],[Profit]]/sales_data[[#This Row],[Sales]]</f>
        <v>0.19298654765564544</v>
      </c>
      <c r="M188" t="s">
        <v>35</v>
      </c>
      <c r="N188" t="s">
        <v>58</v>
      </c>
    </row>
    <row r="189" spans="1:14" x14ac:dyDescent="0.25">
      <c r="A189" t="s">
        <v>421</v>
      </c>
      <c r="B189" s="1">
        <v>45759</v>
      </c>
      <c r="C189" t="s">
        <v>422</v>
      </c>
      <c r="D189" t="s">
        <v>423</v>
      </c>
      <c r="E189" t="s">
        <v>78</v>
      </c>
      <c r="F189" t="s">
        <v>194</v>
      </c>
      <c r="G189">
        <v>4</v>
      </c>
      <c r="H189">
        <v>122.83</v>
      </c>
      <c r="I189">
        <v>417.62</v>
      </c>
      <c r="J189">
        <v>0.15</v>
      </c>
      <c r="K189">
        <v>153.32</v>
      </c>
      <c r="L189" s="14">
        <f>sales_data[[#This Row],[Profit]]/sales_data[[#This Row],[Sales]]</f>
        <v>0.36712801111057897</v>
      </c>
      <c r="M189" t="s">
        <v>35</v>
      </c>
      <c r="N189" t="s">
        <v>58</v>
      </c>
    </row>
    <row r="190" spans="1:14" x14ac:dyDescent="0.25">
      <c r="A190" t="s">
        <v>424</v>
      </c>
      <c r="B190" s="1">
        <v>46001</v>
      </c>
      <c r="C190" t="s">
        <v>112</v>
      </c>
      <c r="D190" t="s">
        <v>113</v>
      </c>
      <c r="E190" t="s">
        <v>78</v>
      </c>
      <c r="F190" t="s">
        <v>255</v>
      </c>
      <c r="G190">
        <v>7</v>
      </c>
      <c r="H190">
        <v>8.99</v>
      </c>
      <c r="I190">
        <v>59.78</v>
      </c>
      <c r="J190">
        <v>0.05</v>
      </c>
      <c r="K190">
        <v>22.66</v>
      </c>
      <c r="L190" s="14">
        <f>sales_data[[#This Row],[Profit]]/sales_data[[#This Row],[Sales]]</f>
        <v>0.37905654064904648</v>
      </c>
      <c r="M190" t="s">
        <v>18</v>
      </c>
      <c r="N190" t="s">
        <v>19</v>
      </c>
    </row>
    <row r="191" spans="1:14" x14ac:dyDescent="0.25">
      <c r="A191" t="s">
        <v>425</v>
      </c>
      <c r="B191" s="1">
        <v>45962</v>
      </c>
      <c r="C191" t="s">
        <v>69</v>
      </c>
      <c r="D191" t="s">
        <v>70</v>
      </c>
      <c r="E191" t="s">
        <v>44</v>
      </c>
      <c r="F191" t="s">
        <v>51</v>
      </c>
      <c r="G191">
        <v>1</v>
      </c>
      <c r="H191">
        <v>327.76</v>
      </c>
      <c r="I191">
        <v>327.76</v>
      </c>
      <c r="J191">
        <v>0</v>
      </c>
      <c r="K191">
        <v>95.83</v>
      </c>
      <c r="L191" s="14">
        <f>sales_data[[#This Row],[Profit]]/sales_data[[#This Row],[Sales]]</f>
        <v>0.29237856968513548</v>
      </c>
      <c r="M191" t="s">
        <v>25</v>
      </c>
      <c r="N191" t="s">
        <v>47</v>
      </c>
    </row>
    <row r="192" spans="1:14" x14ac:dyDescent="0.25">
      <c r="A192" t="s">
        <v>426</v>
      </c>
      <c r="B192" s="1">
        <v>45660</v>
      </c>
      <c r="C192" t="s">
        <v>427</v>
      </c>
      <c r="D192" t="s">
        <v>428</v>
      </c>
      <c r="E192" t="s">
        <v>23</v>
      </c>
      <c r="F192" t="s">
        <v>117</v>
      </c>
      <c r="G192">
        <v>2</v>
      </c>
      <c r="H192">
        <v>76.260000000000005</v>
      </c>
      <c r="I192">
        <v>129.63999999999999</v>
      </c>
      <c r="J192">
        <v>0.15</v>
      </c>
      <c r="K192">
        <v>53.49</v>
      </c>
      <c r="L192" s="14">
        <f>sales_data[[#This Row],[Profit]]/sales_data[[#This Row],[Sales]]</f>
        <v>0.41260413452638078</v>
      </c>
      <c r="M192" t="s">
        <v>35</v>
      </c>
      <c r="N192" t="s">
        <v>47</v>
      </c>
    </row>
    <row r="193" spans="1:14" x14ac:dyDescent="0.25">
      <c r="A193" t="s">
        <v>429</v>
      </c>
      <c r="B193" s="1">
        <v>45961</v>
      </c>
      <c r="C193" t="s">
        <v>132</v>
      </c>
      <c r="D193" t="s">
        <v>133</v>
      </c>
      <c r="E193" t="s">
        <v>16</v>
      </c>
      <c r="F193" t="s">
        <v>17</v>
      </c>
      <c r="G193">
        <v>7</v>
      </c>
      <c r="H193">
        <v>651.98</v>
      </c>
      <c r="I193">
        <v>4107.47</v>
      </c>
      <c r="J193">
        <v>0.1</v>
      </c>
      <c r="K193">
        <v>768.32</v>
      </c>
      <c r="L193" s="14">
        <f>sales_data[[#This Row],[Profit]]/sales_data[[#This Row],[Sales]]</f>
        <v>0.1870543181082272</v>
      </c>
      <c r="M193" t="s">
        <v>46</v>
      </c>
      <c r="N193" t="s">
        <v>47</v>
      </c>
    </row>
    <row r="194" spans="1:14" x14ac:dyDescent="0.25">
      <c r="A194" t="s">
        <v>430</v>
      </c>
      <c r="B194" s="1">
        <v>45678</v>
      </c>
      <c r="C194" t="s">
        <v>186</v>
      </c>
      <c r="D194" t="s">
        <v>187</v>
      </c>
      <c r="E194" t="s">
        <v>23</v>
      </c>
      <c r="F194" t="s">
        <v>24</v>
      </c>
      <c r="G194">
        <v>3</v>
      </c>
      <c r="H194">
        <v>3.58</v>
      </c>
      <c r="I194">
        <v>9.67</v>
      </c>
      <c r="J194">
        <v>0.1</v>
      </c>
      <c r="K194">
        <v>3.99</v>
      </c>
      <c r="L194" s="14">
        <f>sales_data[[#This Row],[Profit]]/sales_data[[#This Row],[Sales]]</f>
        <v>0.41261633919338164</v>
      </c>
      <c r="M194" t="s">
        <v>35</v>
      </c>
      <c r="N194" t="s">
        <v>30</v>
      </c>
    </row>
    <row r="195" spans="1:14" x14ac:dyDescent="0.25">
      <c r="A195" t="s">
        <v>431</v>
      </c>
      <c r="B195" s="1">
        <v>45934</v>
      </c>
      <c r="C195" t="s">
        <v>180</v>
      </c>
      <c r="D195" t="s">
        <v>181</v>
      </c>
      <c r="E195" t="s">
        <v>78</v>
      </c>
      <c r="F195" t="s">
        <v>79</v>
      </c>
      <c r="G195">
        <v>6</v>
      </c>
      <c r="H195">
        <v>41.46</v>
      </c>
      <c r="I195">
        <v>248.76</v>
      </c>
      <c r="J195">
        <v>0</v>
      </c>
      <c r="K195">
        <v>92.41</v>
      </c>
      <c r="L195" s="14">
        <f>sales_data[[#This Row],[Profit]]/sales_data[[#This Row],[Sales]]</f>
        <v>0.37148255346518733</v>
      </c>
      <c r="M195" t="s">
        <v>35</v>
      </c>
      <c r="N195" t="s">
        <v>30</v>
      </c>
    </row>
    <row r="196" spans="1:14" x14ac:dyDescent="0.25">
      <c r="A196" t="s">
        <v>432</v>
      </c>
      <c r="B196" s="1">
        <v>45896</v>
      </c>
      <c r="C196" t="s">
        <v>402</v>
      </c>
      <c r="D196" t="s">
        <v>403</v>
      </c>
      <c r="E196" t="s">
        <v>23</v>
      </c>
      <c r="F196" t="s">
        <v>196</v>
      </c>
      <c r="G196">
        <v>3</v>
      </c>
      <c r="H196">
        <v>47.73</v>
      </c>
      <c r="I196">
        <v>143.19</v>
      </c>
      <c r="J196">
        <v>0</v>
      </c>
      <c r="K196">
        <v>59.92</v>
      </c>
      <c r="L196" s="14">
        <f>sales_data[[#This Row],[Profit]]/sales_data[[#This Row],[Sales]]</f>
        <v>0.41846497660451148</v>
      </c>
      <c r="M196" t="s">
        <v>46</v>
      </c>
      <c r="N196" t="s">
        <v>36</v>
      </c>
    </row>
    <row r="197" spans="1:14" x14ac:dyDescent="0.25">
      <c r="A197" t="s">
        <v>433</v>
      </c>
      <c r="B197" s="1">
        <v>46002</v>
      </c>
      <c r="C197" t="s">
        <v>374</v>
      </c>
      <c r="D197" t="s">
        <v>375</v>
      </c>
      <c r="E197" t="s">
        <v>78</v>
      </c>
      <c r="F197" t="s">
        <v>205</v>
      </c>
      <c r="G197">
        <v>3</v>
      </c>
      <c r="H197">
        <v>29.19</v>
      </c>
      <c r="I197">
        <v>74.430000000000007</v>
      </c>
      <c r="J197">
        <v>0.15</v>
      </c>
      <c r="K197">
        <v>27.24</v>
      </c>
      <c r="L197" s="14">
        <f>sales_data[[#This Row],[Profit]]/sales_data[[#This Row],[Sales]]</f>
        <v>0.36598145908907692</v>
      </c>
      <c r="M197" t="s">
        <v>18</v>
      </c>
      <c r="N197" t="s">
        <v>36</v>
      </c>
    </row>
    <row r="198" spans="1:14" x14ac:dyDescent="0.25">
      <c r="A198" t="s">
        <v>434</v>
      </c>
      <c r="B198" s="1">
        <v>45693</v>
      </c>
      <c r="C198" t="s">
        <v>338</v>
      </c>
      <c r="D198" t="s">
        <v>339</v>
      </c>
      <c r="E198" t="s">
        <v>44</v>
      </c>
      <c r="F198" t="s">
        <v>96</v>
      </c>
      <c r="G198">
        <v>4</v>
      </c>
      <c r="H198">
        <v>88.32</v>
      </c>
      <c r="I198">
        <v>300.29000000000002</v>
      </c>
      <c r="J198">
        <v>0.15</v>
      </c>
      <c r="K198">
        <v>89.73</v>
      </c>
      <c r="L198" s="14">
        <f>sales_data[[#This Row],[Profit]]/sales_data[[#This Row],[Sales]]</f>
        <v>0.2988111492224183</v>
      </c>
      <c r="M198" t="s">
        <v>35</v>
      </c>
      <c r="N198" t="s">
        <v>47</v>
      </c>
    </row>
    <row r="199" spans="1:14" x14ac:dyDescent="0.25">
      <c r="A199" t="s">
        <v>435</v>
      </c>
      <c r="B199" s="1">
        <v>45775</v>
      </c>
      <c r="C199" t="s">
        <v>201</v>
      </c>
      <c r="D199" t="s">
        <v>202</v>
      </c>
      <c r="E199" t="s">
        <v>16</v>
      </c>
      <c r="F199" t="s">
        <v>17</v>
      </c>
      <c r="G199">
        <v>6</v>
      </c>
      <c r="H199">
        <v>722.41</v>
      </c>
      <c r="I199">
        <v>3901.01</v>
      </c>
      <c r="J199">
        <v>0.1</v>
      </c>
      <c r="K199">
        <v>743.54</v>
      </c>
      <c r="L199" s="14">
        <f>sales_data[[#This Row],[Profit]]/sales_data[[#This Row],[Sales]]</f>
        <v>0.19060192104096116</v>
      </c>
      <c r="M199" t="s">
        <v>25</v>
      </c>
      <c r="N199" t="s">
        <v>47</v>
      </c>
    </row>
    <row r="200" spans="1:14" x14ac:dyDescent="0.25">
      <c r="A200" t="s">
        <v>436</v>
      </c>
      <c r="B200" s="1">
        <v>45729</v>
      </c>
      <c r="C200" t="s">
        <v>84</v>
      </c>
      <c r="D200" t="s">
        <v>85</v>
      </c>
      <c r="E200" t="s">
        <v>16</v>
      </c>
      <c r="F200" t="s">
        <v>89</v>
      </c>
      <c r="G200">
        <v>1</v>
      </c>
      <c r="H200">
        <v>303.32</v>
      </c>
      <c r="I200">
        <v>272.99</v>
      </c>
      <c r="J200">
        <v>0.1</v>
      </c>
      <c r="K200">
        <v>55.08</v>
      </c>
      <c r="L200" s="14">
        <f>sales_data[[#This Row],[Profit]]/sales_data[[#This Row],[Sales]]</f>
        <v>0.20176563244074874</v>
      </c>
      <c r="M200" t="s">
        <v>18</v>
      </c>
      <c r="N200" t="s">
        <v>30</v>
      </c>
    </row>
    <row r="201" spans="1:14" x14ac:dyDescent="0.25">
      <c r="A201" t="s">
        <v>437</v>
      </c>
      <c r="B201" s="1">
        <v>46002</v>
      </c>
      <c r="C201" t="s">
        <v>49</v>
      </c>
      <c r="D201" t="s">
        <v>50</v>
      </c>
      <c r="E201" t="s">
        <v>44</v>
      </c>
      <c r="F201" t="s">
        <v>96</v>
      </c>
      <c r="G201">
        <v>3</v>
      </c>
      <c r="H201">
        <v>447.99</v>
      </c>
      <c r="I201">
        <v>1276.77</v>
      </c>
      <c r="J201">
        <v>0.05</v>
      </c>
      <c r="K201">
        <v>373.33</v>
      </c>
      <c r="L201" s="14">
        <f>sales_data[[#This Row],[Profit]]/sales_data[[#This Row],[Sales]]</f>
        <v>0.29240192047118901</v>
      </c>
      <c r="M201" t="s">
        <v>18</v>
      </c>
      <c r="N201" t="s">
        <v>36</v>
      </c>
    </row>
    <row r="202" spans="1:14" x14ac:dyDescent="0.25">
      <c r="A202" t="s">
        <v>438</v>
      </c>
      <c r="B202" s="1">
        <v>45818</v>
      </c>
      <c r="C202" t="s">
        <v>439</v>
      </c>
      <c r="D202" t="s">
        <v>440</v>
      </c>
      <c r="E202" t="s">
        <v>23</v>
      </c>
      <c r="F202" t="s">
        <v>29</v>
      </c>
      <c r="G202">
        <v>5</v>
      </c>
      <c r="H202">
        <v>10.37</v>
      </c>
      <c r="I202">
        <v>51.85</v>
      </c>
      <c r="J202">
        <v>0</v>
      </c>
      <c r="K202">
        <v>21.82</v>
      </c>
      <c r="L202" s="14">
        <f>sales_data[[#This Row],[Profit]]/sales_data[[#This Row],[Sales]]</f>
        <v>0.42082931533269047</v>
      </c>
      <c r="M202" t="s">
        <v>25</v>
      </c>
      <c r="N202" t="s">
        <v>58</v>
      </c>
    </row>
    <row r="203" spans="1:14" x14ac:dyDescent="0.25">
      <c r="A203" t="s">
        <v>441</v>
      </c>
      <c r="B203" s="1">
        <v>45911</v>
      </c>
      <c r="C203" t="s">
        <v>115</v>
      </c>
      <c r="D203" t="s">
        <v>116</v>
      </c>
      <c r="E203" t="s">
        <v>16</v>
      </c>
      <c r="F203" t="s">
        <v>17</v>
      </c>
      <c r="G203">
        <v>2</v>
      </c>
      <c r="H203">
        <v>347.58</v>
      </c>
      <c r="I203">
        <v>625.64</v>
      </c>
      <c r="J203">
        <v>0.1</v>
      </c>
      <c r="K203">
        <v>118.7</v>
      </c>
      <c r="L203" s="14">
        <f>sales_data[[#This Row],[Profit]]/sales_data[[#This Row],[Sales]]</f>
        <v>0.18972572086183748</v>
      </c>
      <c r="M203" t="s">
        <v>46</v>
      </c>
      <c r="N203" t="s">
        <v>19</v>
      </c>
    </row>
    <row r="204" spans="1:14" x14ac:dyDescent="0.25">
      <c r="A204" t="s">
        <v>442</v>
      </c>
      <c r="B204" s="1">
        <v>45937</v>
      </c>
      <c r="C204" t="s">
        <v>38</v>
      </c>
      <c r="D204" t="s">
        <v>39</v>
      </c>
      <c r="E204" t="s">
        <v>23</v>
      </c>
      <c r="F204" t="s">
        <v>117</v>
      </c>
      <c r="G204">
        <v>6</v>
      </c>
      <c r="H204">
        <v>11.02</v>
      </c>
      <c r="I204">
        <v>59.51</v>
      </c>
      <c r="J204">
        <v>0.1</v>
      </c>
      <c r="K204">
        <v>25.15</v>
      </c>
      <c r="L204" s="14">
        <f>sales_data[[#This Row],[Profit]]/sales_data[[#This Row],[Sales]]</f>
        <v>0.42261804738699377</v>
      </c>
      <c r="M204" t="s">
        <v>18</v>
      </c>
      <c r="N204" t="s">
        <v>19</v>
      </c>
    </row>
    <row r="205" spans="1:14" x14ac:dyDescent="0.25">
      <c r="A205" t="s">
        <v>443</v>
      </c>
      <c r="B205" s="1">
        <v>46010</v>
      </c>
      <c r="C205" t="s">
        <v>174</v>
      </c>
      <c r="D205" t="s">
        <v>175</v>
      </c>
      <c r="E205" t="s">
        <v>16</v>
      </c>
      <c r="F205" t="s">
        <v>17</v>
      </c>
      <c r="G205">
        <v>3</v>
      </c>
      <c r="H205">
        <v>496.4</v>
      </c>
      <c r="I205">
        <v>1414.74</v>
      </c>
      <c r="J205">
        <v>0.05</v>
      </c>
      <c r="K205">
        <v>282.51</v>
      </c>
      <c r="L205" s="14">
        <f>sales_data[[#This Row],[Profit]]/sales_data[[#This Row],[Sales]]</f>
        <v>0.19969040247678019</v>
      </c>
      <c r="M205" t="s">
        <v>18</v>
      </c>
      <c r="N205" t="s">
        <v>30</v>
      </c>
    </row>
    <row r="206" spans="1:14" x14ac:dyDescent="0.25">
      <c r="A206" t="s">
        <v>444</v>
      </c>
      <c r="B206" s="1">
        <v>45787</v>
      </c>
      <c r="C206" t="s">
        <v>38</v>
      </c>
      <c r="D206" t="s">
        <v>39</v>
      </c>
      <c r="E206" t="s">
        <v>44</v>
      </c>
      <c r="F206" t="s">
        <v>45</v>
      </c>
      <c r="G206">
        <v>5</v>
      </c>
      <c r="H206">
        <v>76.849999999999994</v>
      </c>
      <c r="I206">
        <v>345.82</v>
      </c>
      <c r="J206">
        <v>0.1</v>
      </c>
      <c r="K206">
        <v>104.39</v>
      </c>
      <c r="L206" s="14">
        <f>sales_data[[#This Row],[Profit]]/sales_data[[#This Row],[Sales]]</f>
        <v>0.30186224047192184</v>
      </c>
      <c r="M206" t="s">
        <v>25</v>
      </c>
      <c r="N206" t="s">
        <v>47</v>
      </c>
    </row>
    <row r="207" spans="1:14" x14ac:dyDescent="0.25">
      <c r="A207" t="s">
        <v>445</v>
      </c>
      <c r="B207" s="1">
        <v>45715</v>
      </c>
      <c r="C207" t="s">
        <v>216</v>
      </c>
      <c r="D207" t="s">
        <v>217</v>
      </c>
      <c r="E207" t="s">
        <v>23</v>
      </c>
      <c r="F207" t="s">
        <v>281</v>
      </c>
      <c r="G207">
        <v>6</v>
      </c>
      <c r="H207">
        <v>54.55</v>
      </c>
      <c r="I207">
        <v>261.83999999999997</v>
      </c>
      <c r="J207">
        <v>0.2</v>
      </c>
      <c r="K207">
        <v>110.01</v>
      </c>
      <c r="L207" s="14">
        <f>sales_data[[#This Row],[Profit]]/sales_data[[#This Row],[Sales]]</f>
        <v>0.4201420714940422</v>
      </c>
      <c r="M207" t="s">
        <v>35</v>
      </c>
      <c r="N207" t="s">
        <v>58</v>
      </c>
    </row>
    <row r="208" spans="1:14" x14ac:dyDescent="0.25">
      <c r="A208" t="s">
        <v>446</v>
      </c>
      <c r="B208" s="1">
        <v>45921</v>
      </c>
      <c r="C208" t="s">
        <v>390</v>
      </c>
      <c r="D208" t="s">
        <v>391</v>
      </c>
      <c r="E208" t="s">
        <v>23</v>
      </c>
      <c r="F208" t="s">
        <v>281</v>
      </c>
      <c r="G208">
        <v>4</v>
      </c>
      <c r="H208">
        <v>9.84</v>
      </c>
      <c r="I208">
        <v>31.49</v>
      </c>
      <c r="J208">
        <v>0.2</v>
      </c>
      <c r="K208">
        <v>13.26</v>
      </c>
      <c r="L208" s="14">
        <f>sales_data[[#This Row],[Profit]]/sales_data[[#This Row],[Sales]]</f>
        <v>0.42108605906637031</v>
      </c>
      <c r="M208" t="s">
        <v>18</v>
      </c>
      <c r="N208" t="s">
        <v>36</v>
      </c>
    </row>
    <row r="209" spans="1:14" x14ac:dyDescent="0.25">
      <c r="A209" t="s">
        <v>447</v>
      </c>
      <c r="B209" s="1">
        <v>45815</v>
      </c>
      <c r="C209" t="s">
        <v>32</v>
      </c>
      <c r="D209" t="s">
        <v>33</v>
      </c>
      <c r="E209" t="s">
        <v>16</v>
      </c>
      <c r="F209" t="s">
        <v>89</v>
      </c>
      <c r="G209">
        <v>4</v>
      </c>
      <c r="H209">
        <v>433.4</v>
      </c>
      <c r="I209">
        <v>1560.24</v>
      </c>
      <c r="J209">
        <v>0.1</v>
      </c>
      <c r="K209">
        <v>290.42</v>
      </c>
      <c r="L209" s="14">
        <f>sales_data[[#This Row],[Profit]]/sales_data[[#This Row],[Sales]]</f>
        <v>0.18613803004665949</v>
      </c>
      <c r="M209" t="s">
        <v>25</v>
      </c>
      <c r="N209" t="s">
        <v>19</v>
      </c>
    </row>
    <row r="210" spans="1:14" x14ac:dyDescent="0.25">
      <c r="A210" t="s">
        <v>448</v>
      </c>
      <c r="B210" s="1">
        <v>45761</v>
      </c>
      <c r="C210" t="s">
        <v>449</v>
      </c>
      <c r="D210" t="s">
        <v>450</v>
      </c>
      <c r="E210" t="s">
        <v>16</v>
      </c>
      <c r="F210" t="s">
        <v>34</v>
      </c>
      <c r="G210">
        <v>5</v>
      </c>
      <c r="H210">
        <v>891.19</v>
      </c>
      <c r="I210">
        <v>4010.36</v>
      </c>
      <c r="J210">
        <v>0.1</v>
      </c>
      <c r="K210">
        <v>812.86</v>
      </c>
      <c r="L210" s="14">
        <f>sales_data[[#This Row],[Profit]]/sales_data[[#This Row],[Sales]]</f>
        <v>0.20269003281500914</v>
      </c>
      <c r="M210" t="s">
        <v>46</v>
      </c>
      <c r="N210" t="s">
        <v>19</v>
      </c>
    </row>
    <row r="211" spans="1:14" x14ac:dyDescent="0.25">
      <c r="A211" t="s">
        <v>451</v>
      </c>
      <c r="B211" s="1">
        <v>45888</v>
      </c>
      <c r="C211" t="s">
        <v>452</v>
      </c>
      <c r="D211" t="s">
        <v>453</v>
      </c>
      <c r="E211" t="s">
        <v>16</v>
      </c>
      <c r="F211" t="s">
        <v>89</v>
      </c>
      <c r="G211">
        <v>1</v>
      </c>
      <c r="H211">
        <v>739.97</v>
      </c>
      <c r="I211">
        <v>702.97</v>
      </c>
      <c r="J211">
        <v>0.05</v>
      </c>
      <c r="K211">
        <v>144.26</v>
      </c>
      <c r="L211" s="14">
        <f>sales_data[[#This Row],[Profit]]/sales_data[[#This Row],[Sales]]</f>
        <v>0.20521501628803504</v>
      </c>
      <c r="M211" t="s">
        <v>35</v>
      </c>
      <c r="N211" t="s">
        <v>30</v>
      </c>
    </row>
    <row r="212" spans="1:14" x14ac:dyDescent="0.25">
      <c r="A212" t="s">
        <v>454</v>
      </c>
      <c r="B212" s="1">
        <v>45894</v>
      </c>
      <c r="C212" t="s">
        <v>455</v>
      </c>
      <c r="D212" t="s">
        <v>456</v>
      </c>
      <c r="E212" t="s">
        <v>16</v>
      </c>
      <c r="F212" t="s">
        <v>89</v>
      </c>
      <c r="G212">
        <v>1</v>
      </c>
      <c r="H212">
        <v>127.98</v>
      </c>
      <c r="I212">
        <v>108.78</v>
      </c>
      <c r="J212">
        <v>0.15</v>
      </c>
      <c r="K212">
        <v>21.04</v>
      </c>
      <c r="L212" s="14">
        <f>sales_data[[#This Row],[Profit]]/sales_data[[#This Row],[Sales]]</f>
        <v>0.19341790770362197</v>
      </c>
      <c r="M212" t="s">
        <v>18</v>
      </c>
      <c r="N212" t="s">
        <v>58</v>
      </c>
    </row>
    <row r="213" spans="1:14" x14ac:dyDescent="0.25">
      <c r="A213" t="s">
        <v>457</v>
      </c>
      <c r="B213" s="1">
        <v>45853</v>
      </c>
      <c r="C213" t="s">
        <v>417</v>
      </c>
      <c r="D213" t="s">
        <v>418</v>
      </c>
      <c r="E213" t="s">
        <v>44</v>
      </c>
      <c r="F213" t="s">
        <v>96</v>
      </c>
      <c r="G213">
        <v>7</v>
      </c>
      <c r="H213">
        <v>138.38</v>
      </c>
      <c r="I213">
        <v>871.79</v>
      </c>
      <c r="J213">
        <v>0.1</v>
      </c>
      <c r="K213">
        <v>255.23</v>
      </c>
      <c r="L213" s="14">
        <f>sales_data[[#This Row],[Profit]]/sales_data[[#This Row],[Sales]]</f>
        <v>0.29276545957168582</v>
      </c>
      <c r="M213" t="s">
        <v>25</v>
      </c>
      <c r="N213" t="s">
        <v>19</v>
      </c>
    </row>
    <row r="214" spans="1:14" x14ac:dyDescent="0.25">
      <c r="A214" t="s">
        <v>458</v>
      </c>
      <c r="B214" s="1">
        <v>45896</v>
      </c>
      <c r="C214" t="s">
        <v>459</v>
      </c>
      <c r="D214" t="s">
        <v>460</v>
      </c>
      <c r="E214" t="s">
        <v>44</v>
      </c>
      <c r="F214" t="s">
        <v>45</v>
      </c>
      <c r="G214">
        <v>2</v>
      </c>
      <c r="H214">
        <v>391.62</v>
      </c>
      <c r="I214">
        <v>704.92</v>
      </c>
      <c r="J214">
        <v>0.1</v>
      </c>
      <c r="K214">
        <v>204.27</v>
      </c>
      <c r="L214" s="14">
        <f>sales_data[[#This Row],[Profit]]/sales_data[[#This Row],[Sales]]</f>
        <v>0.289777563411451</v>
      </c>
      <c r="M214" t="s">
        <v>46</v>
      </c>
      <c r="N214" t="s">
        <v>58</v>
      </c>
    </row>
    <row r="215" spans="1:14" x14ac:dyDescent="0.25">
      <c r="A215" t="s">
        <v>461</v>
      </c>
      <c r="B215" s="1">
        <v>45671</v>
      </c>
      <c r="C215" t="s">
        <v>462</v>
      </c>
      <c r="D215" t="s">
        <v>463</v>
      </c>
      <c r="E215" t="s">
        <v>23</v>
      </c>
      <c r="F215" t="s">
        <v>281</v>
      </c>
      <c r="G215">
        <v>7</v>
      </c>
      <c r="H215">
        <v>34.03</v>
      </c>
      <c r="I215">
        <v>238.21</v>
      </c>
      <c r="J215">
        <v>0</v>
      </c>
      <c r="K215">
        <v>99.85</v>
      </c>
      <c r="L215" s="14">
        <f>sales_data[[#This Row],[Profit]]/sales_data[[#This Row],[Sales]]</f>
        <v>0.41916796104277737</v>
      </c>
      <c r="M215" t="s">
        <v>46</v>
      </c>
      <c r="N215" t="s">
        <v>30</v>
      </c>
    </row>
    <row r="216" spans="1:14" x14ac:dyDescent="0.25">
      <c r="A216" t="s">
        <v>464</v>
      </c>
      <c r="B216" s="1">
        <v>45682</v>
      </c>
      <c r="C216" t="s">
        <v>455</v>
      </c>
      <c r="D216" t="s">
        <v>456</v>
      </c>
      <c r="E216" t="s">
        <v>44</v>
      </c>
      <c r="F216" t="s">
        <v>96</v>
      </c>
      <c r="G216">
        <v>1</v>
      </c>
      <c r="H216">
        <v>351.17</v>
      </c>
      <c r="I216">
        <v>333.61</v>
      </c>
      <c r="J216">
        <v>0.05</v>
      </c>
      <c r="K216">
        <v>97.35</v>
      </c>
      <c r="L216" s="14">
        <f>sales_data[[#This Row],[Profit]]/sales_data[[#This Row],[Sales]]</f>
        <v>0.29180779952639307</v>
      </c>
      <c r="M216" t="s">
        <v>35</v>
      </c>
      <c r="N216" t="s">
        <v>19</v>
      </c>
    </row>
    <row r="217" spans="1:14" x14ac:dyDescent="0.25">
      <c r="A217" t="s">
        <v>465</v>
      </c>
      <c r="B217" s="1">
        <v>45682</v>
      </c>
      <c r="C217" t="s">
        <v>180</v>
      </c>
      <c r="D217" t="s">
        <v>181</v>
      </c>
      <c r="E217" t="s">
        <v>16</v>
      </c>
      <c r="F217" t="s">
        <v>34</v>
      </c>
      <c r="G217">
        <v>5</v>
      </c>
      <c r="H217">
        <v>168.07</v>
      </c>
      <c r="I217">
        <v>798.33</v>
      </c>
      <c r="J217">
        <v>0.05</v>
      </c>
      <c r="K217">
        <v>155.53</v>
      </c>
      <c r="L217" s="14">
        <f>sales_data[[#This Row],[Profit]]/sales_data[[#This Row],[Sales]]</f>
        <v>0.19481918504878934</v>
      </c>
      <c r="M217" t="s">
        <v>18</v>
      </c>
      <c r="N217" t="s">
        <v>30</v>
      </c>
    </row>
    <row r="218" spans="1:14" x14ac:dyDescent="0.25">
      <c r="A218" t="s">
        <v>466</v>
      </c>
      <c r="B218" s="1">
        <v>45945</v>
      </c>
      <c r="C218" t="s">
        <v>69</v>
      </c>
      <c r="D218" t="s">
        <v>70</v>
      </c>
      <c r="E218" t="s">
        <v>16</v>
      </c>
      <c r="F218" t="s">
        <v>40</v>
      </c>
      <c r="G218">
        <v>4</v>
      </c>
      <c r="H218">
        <v>391.38</v>
      </c>
      <c r="I218">
        <v>1487.24</v>
      </c>
      <c r="J218">
        <v>0.05</v>
      </c>
      <c r="K218">
        <v>292.70999999999998</v>
      </c>
      <c r="L218" s="14">
        <f>sales_data[[#This Row],[Profit]]/sales_data[[#This Row],[Sales]]</f>
        <v>0.19681423307603343</v>
      </c>
      <c r="M218" t="s">
        <v>25</v>
      </c>
      <c r="N218" t="s">
        <v>19</v>
      </c>
    </row>
    <row r="219" spans="1:14" x14ac:dyDescent="0.25">
      <c r="A219" t="s">
        <v>467</v>
      </c>
      <c r="B219" s="1">
        <v>45717</v>
      </c>
      <c r="C219" t="s">
        <v>186</v>
      </c>
      <c r="D219" t="s">
        <v>187</v>
      </c>
      <c r="E219" t="s">
        <v>16</v>
      </c>
      <c r="F219" t="s">
        <v>89</v>
      </c>
      <c r="G219">
        <v>3</v>
      </c>
      <c r="H219">
        <v>479.09</v>
      </c>
      <c r="I219">
        <v>1293.54</v>
      </c>
      <c r="J219">
        <v>0.1</v>
      </c>
      <c r="K219">
        <v>264.2</v>
      </c>
      <c r="L219" s="14">
        <f>sales_data[[#This Row],[Profit]]/sales_data[[#This Row],[Sales]]</f>
        <v>0.20424571331385191</v>
      </c>
      <c r="M219" t="s">
        <v>35</v>
      </c>
      <c r="N219" t="s">
        <v>47</v>
      </c>
    </row>
    <row r="220" spans="1:14" x14ac:dyDescent="0.25">
      <c r="A220" t="s">
        <v>468</v>
      </c>
      <c r="B220" s="1">
        <v>45910</v>
      </c>
      <c r="C220" t="s">
        <v>104</v>
      </c>
      <c r="D220" t="s">
        <v>105</v>
      </c>
      <c r="E220" t="s">
        <v>44</v>
      </c>
      <c r="F220" t="s">
        <v>96</v>
      </c>
      <c r="G220">
        <v>7</v>
      </c>
      <c r="H220">
        <v>689.06</v>
      </c>
      <c r="I220">
        <v>4823.42</v>
      </c>
      <c r="J220">
        <v>0</v>
      </c>
      <c r="K220">
        <v>1474.68</v>
      </c>
      <c r="L220" s="14">
        <f>sales_data[[#This Row],[Profit]]/sales_data[[#This Row],[Sales]]</f>
        <v>0.30573327638895226</v>
      </c>
      <c r="M220" t="s">
        <v>35</v>
      </c>
      <c r="N220" t="s">
        <v>30</v>
      </c>
    </row>
    <row r="221" spans="1:14" x14ac:dyDescent="0.25">
      <c r="A221" t="s">
        <v>469</v>
      </c>
      <c r="B221" s="1">
        <v>45920</v>
      </c>
      <c r="C221" t="s">
        <v>470</v>
      </c>
      <c r="D221" t="s">
        <v>471</v>
      </c>
      <c r="E221" t="s">
        <v>16</v>
      </c>
      <c r="F221" t="s">
        <v>34</v>
      </c>
      <c r="G221">
        <v>4</v>
      </c>
      <c r="H221">
        <v>751.21</v>
      </c>
      <c r="I221">
        <v>2704.36</v>
      </c>
      <c r="J221">
        <v>0.1</v>
      </c>
      <c r="K221">
        <v>549.35</v>
      </c>
      <c r="L221" s="14">
        <f>sales_data[[#This Row],[Profit]]/sales_data[[#This Row],[Sales]]</f>
        <v>0.2031349376562292</v>
      </c>
      <c r="M221" t="s">
        <v>35</v>
      </c>
      <c r="N221" t="s">
        <v>30</v>
      </c>
    </row>
    <row r="222" spans="1:14" x14ac:dyDescent="0.25">
      <c r="A222" t="s">
        <v>472</v>
      </c>
      <c r="B222" s="1">
        <v>45781</v>
      </c>
      <c r="C222" t="s">
        <v>228</v>
      </c>
      <c r="D222" t="s">
        <v>229</v>
      </c>
      <c r="E222" t="s">
        <v>16</v>
      </c>
      <c r="F222" t="s">
        <v>40</v>
      </c>
      <c r="G222">
        <v>7</v>
      </c>
      <c r="H222">
        <v>876.07</v>
      </c>
      <c r="I222">
        <v>5519.24</v>
      </c>
      <c r="J222">
        <v>0.1</v>
      </c>
      <c r="K222">
        <v>1092.02</v>
      </c>
      <c r="L222" s="14">
        <f>sales_data[[#This Row],[Profit]]/sales_data[[#This Row],[Sales]]</f>
        <v>0.19785695131938455</v>
      </c>
      <c r="M222" t="s">
        <v>25</v>
      </c>
      <c r="N222" t="s">
        <v>19</v>
      </c>
    </row>
    <row r="223" spans="1:14" x14ac:dyDescent="0.25">
      <c r="A223" t="s">
        <v>473</v>
      </c>
      <c r="B223" s="1">
        <v>45749</v>
      </c>
      <c r="C223" t="s">
        <v>73</v>
      </c>
      <c r="D223" t="s">
        <v>74</v>
      </c>
      <c r="E223" t="s">
        <v>16</v>
      </c>
      <c r="F223" t="s">
        <v>34</v>
      </c>
      <c r="G223">
        <v>6</v>
      </c>
      <c r="H223">
        <v>232.84</v>
      </c>
      <c r="I223">
        <v>1327.19</v>
      </c>
      <c r="J223">
        <v>0.05</v>
      </c>
      <c r="K223">
        <v>240.33</v>
      </c>
      <c r="L223" s="14">
        <f>sales_data[[#This Row],[Profit]]/sales_data[[#This Row],[Sales]]</f>
        <v>0.18108183455270158</v>
      </c>
      <c r="M223" t="s">
        <v>18</v>
      </c>
      <c r="N223" t="s">
        <v>47</v>
      </c>
    </row>
    <row r="224" spans="1:14" x14ac:dyDescent="0.25">
      <c r="A224" t="s">
        <v>474</v>
      </c>
      <c r="B224" s="1">
        <v>45903</v>
      </c>
      <c r="C224" t="s">
        <v>475</v>
      </c>
      <c r="D224" t="s">
        <v>476</v>
      </c>
      <c r="E224" t="s">
        <v>16</v>
      </c>
      <c r="F224" t="s">
        <v>17</v>
      </c>
      <c r="G224">
        <v>7</v>
      </c>
      <c r="H224">
        <v>709.02</v>
      </c>
      <c r="I224">
        <v>4466.83</v>
      </c>
      <c r="J224">
        <v>0.1</v>
      </c>
      <c r="K224">
        <v>912.61</v>
      </c>
      <c r="L224" s="14">
        <f>sales_data[[#This Row],[Profit]]/sales_data[[#This Row],[Sales]]</f>
        <v>0.204308200670274</v>
      </c>
      <c r="M224" t="s">
        <v>35</v>
      </c>
      <c r="N224" t="s">
        <v>36</v>
      </c>
    </row>
    <row r="225" spans="1:14" x14ac:dyDescent="0.25">
      <c r="A225" t="s">
        <v>477</v>
      </c>
      <c r="B225" s="1">
        <v>45899</v>
      </c>
      <c r="C225" t="s">
        <v>53</v>
      </c>
      <c r="D225" t="s">
        <v>54</v>
      </c>
      <c r="E225" t="s">
        <v>16</v>
      </c>
      <c r="F225" t="s">
        <v>89</v>
      </c>
      <c r="G225">
        <v>5</v>
      </c>
      <c r="H225">
        <v>258.66000000000003</v>
      </c>
      <c r="I225">
        <v>1293.3</v>
      </c>
      <c r="J225">
        <v>0</v>
      </c>
      <c r="K225">
        <v>269.94</v>
      </c>
      <c r="L225" s="14">
        <f>sales_data[[#This Row],[Profit]]/sales_data[[#This Row],[Sales]]</f>
        <v>0.20872187427511019</v>
      </c>
      <c r="M225" t="s">
        <v>35</v>
      </c>
      <c r="N225" t="s">
        <v>58</v>
      </c>
    </row>
    <row r="226" spans="1:14" x14ac:dyDescent="0.25">
      <c r="A226" t="s">
        <v>478</v>
      </c>
      <c r="B226" s="1">
        <v>45848</v>
      </c>
      <c r="C226" t="s">
        <v>201</v>
      </c>
      <c r="D226" t="s">
        <v>202</v>
      </c>
      <c r="E226" t="s">
        <v>16</v>
      </c>
      <c r="F226" t="s">
        <v>34</v>
      </c>
      <c r="G226">
        <v>4</v>
      </c>
      <c r="H226">
        <v>337.57</v>
      </c>
      <c r="I226">
        <v>1350.28</v>
      </c>
      <c r="J226">
        <v>0</v>
      </c>
      <c r="K226">
        <v>278.41000000000003</v>
      </c>
      <c r="L226" s="14">
        <f>sales_data[[#This Row],[Profit]]/sales_data[[#This Row],[Sales]]</f>
        <v>0.20618686494652963</v>
      </c>
      <c r="M226" t="s">
        <v>46</v>
      </c>
      <c r="N226" t="s">
        <v>30</v>
      </c>
    </row>
    <row r="227" spans="1:14" x14ac:dyDescent="0.25">
      <c r="A227" t="s">
        <v>479</v>
      </c>
      <c r="B227" s="1">
        <v>45889</v>
      </c>
      <c r="C227" t="s">
        <v>347</v>
      </c>
      <c r="D227" t="s">
        <v>348</v>
      </c>
      <c r="E227" t="s">
        <v>16</v>
      </c>
      <c r="F227" t="s">
        <v>89</v>
      </c>
      <c r="G227">
        <v>1</v>
      </c>
      <c r="H227">
        <v>746.55</v>
      </c>
      <c r="I227">
        <v>634.57000000000005</v>
      </c>
      <c r="J227">
        <v>0.15</v>
      </c>
      <c r="K227">
        <v>125.79</v>
      </c>
      <c r="L227" s="14">
        <f>sales_data[[#This Row],[Profit]]/sales_data[[#This Row],[Sales]]</f>
        <v>0.19822872181162046</v>
      </c>
      <c r="M227" t="s">
        <v>46</v>
      </c>
      <c r="N227" t="s">
        <v>19</v>
      </c>
    </row>
    <row r="228" spans="1:14" x14ac:dyDescent="0.25">
      <c r="A228" t="s">
        <v>480</v>
      </c>
      <c r="B228" s="1">
        <v>45777</v>
      </c>
      <c r="C228" t="s">
        <v>262</v>
      </c>
      <c r="D228" t="s">
        <v>263</v>
      </c>
      <c r="E228" t="s">
        <v>16</v>
      </c>
      <c r="F228" t="s">
        <v>71</v>
      </c>
      <c r="G228">
        <v>1</v>
      </c>
      <c r="H228">
        <v>833.56</v>
      </c>
      <c r="I228">
        <v>791.88</v>
      </c>
      <c r="J228">
        <v>0.05</v>
      </c>
      <c r="K228">
        <v>160.24</v>
      </c>
      <c r="L228" s="14">
        <f>sales_data[[#This Row],[Profit]]/sales_data[[#This Row],[Sales]]</f>
        <v>0.20235389200383896</v>
      </c>
      <c r="M228" t="s">
        <v>46</v>
      </c>
      <c r="N228" t="s">
        <v>47</v>
      </c>
    </row>
    <row r="229" spans="1:14" x14ac:dyDescent="0.25">
      <c r="A229" t="s">
        <v>481</v>
      </c>
      <c r="B229" s="1">
        <v>45889</v>
      </c>
      <c r="C229" t="s">
        <v>201</v>
      </c>
      <c r="D229" t="s">
        <v>202</v>
      </c>
      <c r="E229" t="s">
        <v>16</v>
      </c>
      <c r="F229" t="s">
        <v>40</v>
      </c>
      <c r="G229">
        <v>4</v>
      </c>
      <c r="H229">
        <v>773.71</v>
      </c>
      <c r="I229">
        <v>2785.36</v>
      </c>
      <c r="J229">
        <v>0.1</v>
      </c>
      <c r="K229">
        <v>510.13</v>
      </c>
      <c r="L229" s="14">
        <f>sales_data[[#This Row],[Profit]]/sales_data[[#This Row],[Sales]]</f>
        <v>0.18314688227015538</v>
      </c>
      <c r="M229" t="s">
        <v>25</v>
      </c>
      <c r="N229" t="s">
        <v>36</v>
      </c>
    </row>
    <row r="230" spans="1:14" x14ac:dyDescent="0.25">
      <c r="A230" t="s">
        <v>482</v>
      </c>
      <c r="B230" s="1">
        <v>46000</v>
      </c>
      <c r="C230" t="s">
        <v>232</v>
      </c>
      <c r="D230" t="s">
        <v>233</v>
      </c>
      <c r="E230" t="s">
        <v>23</v>
      </c>
      <c r="F230" t="s">
        <v>281</v>
      </c>
      <c r="G230">
        <v>5</v>
      </c>
      <c r="H230">
        <v>14.56</v>
      </c>
      <c r="I230">
        <v>65.52</v>
      </c>
      <c r="J230">
        <v>0.1</v>
      </c>
      <c r="K230">
        <v>27.82</v>
      </c>
      <c r="L230" s="14">
        <f>sales_data[[#This Row],[Profit]]/sales_data[[#This Row],[Sales]]</f>
        <v>0.42460317460317465</v>
      </c>
      <c r="M230" t="s">
        <v>35</v>
      </c>
      <c r="N230" t="s">
        <v>19</v>
      </c>
    </row>
    <row r="231" spans="1:14" x14ac:dyDescent="0.25">
      <c r="A231" t="s">
        <v>483</v>
      </c>
      <c r="B231" s="1">
        <v>45766</v>
      </c>
      <c r="C231" t="s">
        <v>219</v>
      </c>
      <c r="D231" t="s">
        <v>220</v>
      </c>
      <c r="E231" t="s">
        <v>16</v>
      </c>
      <c r="F231" t="s">
        <v>34</v>
      </c>
      <c r="G231">
        <v>3</v>
      </c>
      <c r="H231">
        <v>39.229999999999997</v>
      </c>
      <c r="I231">
        <v>94.15</v>
      </c>
      <c r="J231">
        <v>0.2</v>
      </c>
      <c r="K231">
        <v>17.690000000000001</v>
      </c>
      <c r="L231" s="14">
        <f>sales_data[[#This Row],[Profit]]/sales_data[[#This Row],[Sales]]</f>
        <v>0.18789166224110462</v>
      </c>
      <c r="M231" t="s">
        <v>46</v>
      </c>
      <c r="N231" t="s">
        <v>30</v>
      </c>
    </row>
    <row r="232" spans="1:14" x14ac:dyDescent="0.25">
      <c r="A232" t="s">
        <v>484</v>
      </c>
      <c r="B232" s="1">
        <v>45685</v>
      </c>
      <c r="C232" t="s">
        <v>219</v>
      </c>
      <c r="D232" t="s">
        <v>220</v>
      </c>
      <c r="E232" t="s">
        <v>16</v>
      </c>
      <c r="F232" t="s">
        <v>34</v>
      </c>
      <c r="G232">
        <v>3</v>
      </c>
      <c r="H232">
        <v>509.25</v>
      </c>
      <c r="I232">
        <v>1451.36</v>
      </c>
      <c r="J232">
        <v>0.05</v>
      </c>
      <c r="K232">
        <v>268.62</v>
      </c>
      <c r="L232" s="14">
        <f>sales_data[[#This Row],[Profit]]/sales_data[[#This Row],[Sales]]</f>
        <v>0.18508157865725941</v>
      </c>
      <c r="M232" t="s">
        <v>25</v>
      </c>
      <c r="N232" t="s">
        <v>47</v>
      </c>
    </row>
    <row r="233" spans="1:14" x14ac:dyDescent="0.25">
      <c r="A233" t="s">
        <v>485</v>
      </c>
      <c r="B233" s="1">
        <v>45994</v>
      </c>
      <c r="C233" t="s">
        <v>183</v>
      </c>
      <c r="D233" t="s">
        <v>184</v>
      </c>
      <c r="E233" t="s">
        <v>16</v>
      </c>
      <c r="F233" t="s">
        <v>40</v>
      </c>
      <c r="G233">
        <v>1</v>
      </c>
      <c r="H233">
        <v>1171.79</v>
      </c>
      <c r="I233">
        <v>1054.6099999999999</v>
      </c>
      <c r="J233">
        <v>0.1</v>
      </c>
      <c r="K233">
        <v>221.14</v>
      </c>
      <c r="L233" s="14">
        <f>sales_data[[#This Row],[Profit]]/sales_data[[#This Row],[Sales]]</f>
        <v>0.20968888973174918</v>
      </c>
      <c r="M233" t="s">
        <v>25</v>
      </c>
      <c r="N233" t="s">
        <v>30</v>
      </c>
    </row>
    <row r="234" spans="1:14" x14ac:dyDescent="0.25">
      <c r="A234" t="s">
        <v>486</v>
      </c>
      <c r="B234" s="1">
        <v>45874</v>
      </c>
      <c r="C234" t="s">
        <v>439</v>
      </c>
      <c r="D234" t="s">
        <v>440</v>
      </c>
      <c r="E234" t="s">
        <v>23</v>
      </c>
      <c r="F234" t="s">
        <v>117</v>
      </c>
      <c r="G234">
        <v>6</v>
      </c>
      <c r="H234">
        <v>71.98</v>
      </c>
      <c r="I234">
        <v>410.29</v>
      </c>
      <c r="J234">
        <v>0.05</v>
      </c>
      <c r="K234">
        <v>178.99</v>
      </c>
      <c r="L234" s="14">
        <f>sales_data[[#This Row],[Profit]]/sales_data[[#This Row],[Sales]]</f>
        <v>0.43625240683419048</v>
      </c>
      <c r="M234" t="s">
        <v>18</v>
      </c>
      <c r="N234" t="s">
        <v>47</v>
      </c>
    </row>
    <row r="235" spans="1:14" x14ac:dyDescent="0.25">
      <c r="A235" t="s">
        <v>487</v>
      </c>
      <c r="B235" s="1">
        <v>45817</v>
      </c>
      <c r="C235" t="s">
        <v>183</v>
      </c>
      <c r="D235" t="s">
        <v>184</v>
      </c>
      <c r="E235" t="s">
        <v>23</v>
      </c>
      <c r="F235" t="s">
        <v>196</v>
      </c>
      <c r="G235">
        <v>4</v>
      </c>
      <c r="H235">
        <v>15.06</v>
      </c>
      <c r="I235">
        <v>60.24</v>
      </c>
      <c r="J235">
        <v>0</v>
      </c>
      <c r="K235">
        <v>26.31</v>
      </c>
      <c r="L235" s="14">
        <f>sales_data[[#This Row],[Profit]]/sales_data[[#This Row],[Sales]]</f>
        <v>0.43675298804780871</v>
      </c>
      <c r="M235" t="s">
        <v>46</v>
      </c>
      <c r="N235" t="s">
        <v>36</v>
      </c>
    </row>
    <row r="236" spans="1:14" x14ac:dyDescent="0.25">
      <c r="A236" t="s">
        <v>488</v>
      </c>
      <c r="B236" s="1">
        <v>45991</v>
      </c>
      <c r="C236" t="s">
        <v>489</v>
      </c>
      <c r="D236" t="s">
        <v>490</v>
      </c>
      <c r="E236" t="s">
        <v>16</v>
      </c>
      <c r="F236" t="s">
        <v>34</v>
      </c>
      <c r="G236">
        <v>2</v>
      </c>
      <c r="H236">
        <v>1133.1099999999999</v>
      </c>
      <c r="I236">
        <v>2266.2199999999998</v>
      </c>
      <c r="J236">
        <v>0</v>
      </c>
      <c r="K236">
        <v>467.65</v>
      </c>
      <c r="L236" s="14">
        <f>sales_data[[#This Row],[Profit]]/sales_data[[#This Row],[Sales]]</f>
        <v>0.20635684090688461</v>
      </c>
      <c r="M236" t="s">
        <v>25</v>
      </c>
      <c r="N236" t="s">
        <v>58</v>
      </c>
    </row>
    <row r="237" spans="1:14" x14ac:dyDescent="0.25">
      <c r="A237" t="s">
        <v>491</v>
      </c>
      <c r="B237" s="1">
        <v>45779</v>
      </c>
      <c r="C237" t="s">
        <v>452</v>
      </c>
      <c r="D237" t="s">
        <v>453</v>
      </c>
      <c r="E237" t="s">
        <v>78</v>
      </c>
      <c r="F237" t="s">
        <v>194</v>
      </c>
      <c r="G237">
        <v>6</v>
      </c>
      <c r="H237">
        <v>156.16</v>
      </c>
      <c r="I237">
        <v>796.42</v>
      </c>
      <c r="J237">
        <v>0.15</v>
      </c>
      <c r="K237">
        <v>288.64999999999998</v>
      </c>
      <c r="L237" s="14">
        <f>sales_data[[#This Row],[Profit]]/sales_data[[#This Row],[Sales]]</f>
        <v>0.36243439391275961</v>
      </c>
      <c r="M237" t="s">
        <v>46</v>
      </c>
      <c r="N237" t="s">
        <v>19</v>
      </c>
    </row>
    <row r="238" spans="1:14" x14ac:dyDescent="0.25">
      <c r="A238" t="s">
        <v>492</v>
      </c>
      <c r="B238" s="1">
        <v>45783</v>
      </c>
      <c r="C238" t="s">
        <v>493</v>
      </c>
      <c r="D238" t="s">
        <v>494</v>
      </c>
      <c r="E238" t="s">
        <v>23</v>
      </c>
      <c r="F238" t="s">
        <v>196</v>
      </c>
      <c r="G238">
        <v>6</v>
      </c>
      <c r="H238">
        <v>59.09</v>
      </c>
      <c r="I238">
        <v>319.08999999999997</v>
      </c>
      <c r="J238">
        <v>0.1</v>
      </c>
      <c r="K238">
        <v>134.12</v>
      </c>
      <c r="L238" s="14">
        <f>sales_data[[#This Row],[Profit]]/sales_data[[#This Row],[Sales]]</f>
        <v>0.42032028581278014</v>
      </c>
      <c r="M238" t="s">
        <v>18</v>
      </c>
      <c r="N238" t="s">
        <v>58</v>
      </c>
    </row>
    <row r="239" spans="1:14" x14ac:dyDescent="0.25">
      <c r="A239" t="s">
        <v>495</v>
      </c>
      <c r="B239" s="1">
        <v>45942</v>
      </c>
      <c r="C239" t="s">
        <v>180</v>
      </c>
      <c r="D239" t="s">
        <v>181</v>
      </c>
      <c r="E239" t="s">
        <v>16</v>
      </c>
      <c r="F239" t="s">
        <v>40</v>
      </c>
      <c r="G239">
        <v>2</v>
      </c>
      <c r="H239">
        <v>151.83000000000001</v>
      </c>
      <c r="I239">
        <v>273.29000000000002</v>
      </c>
      <c r="J239">
        <v>0.1</v>
      </c>
      <c r="K239">
        <v>56.64</v>
      </c>
      <c r="L239" s="14">
        <f>sales_data[[#This Row],[Profit]]/sales_data[[#This Row],[Sales]]</f>
        <v>0.20725236927805626</v>
      </c>
      <c r="M239" t="s">
        <v>46</v>
      </c>
      <c r="N239" t="s">
        <v>58</v>
      </c>
    </row>
    <row r="240" spans="1:14" x14ac:dyDescent="0.25">
      <c r="A240" t="s">
        <v>496</v>
      </c>
      <c r="B240" s="1">
        <v>45935</v>
      </c>
      <c r="C240" t="s">
        <v>406</v>
      </c>
      <c r="D240" t="s">
        <v>407</v>
      </c>
      <c r="E240" t="s">
        <v>16</v>
      </c>
      <c r="F240" t="s">
        <v>40</v>
      </c>
      <c r="G240">
        <v>5</v>
      </c>
      <c r="H240">
        <v>718.66</v>
      </c>
      <c r="I240">
        <v>3413.64</v>
      </c>
      <c r="J240">
        <v>0.05</v>
      </c>
      <c r="K240">
        <v>686.39</v>
      </c>
      <c r="L240" s="14">
        <f>sales_data[[#This Row],[Profit]]/sales_data[[#This Row],[Sales]]</f>
        <v>0.20107275518215162</v>
      </c>
      <c r="M240" t="s">
        <v>18</v>
      </c>
      <c r="N240" t="s">
        <v>19</v>
      </c>
    </row>
    <row r="241" spans="1:14" x14ac:dyDescent="0.25">
      <c r="A241" t="s">
        <v>497</v>
      </c>
      <c r="B241" s="1">
        <v>45938</v>
      </c>
      <c r="C241" t="s">
        <v>498</v>
      </c>
      <c r="D241" t="s">
        <v>499</v>
      </c>
      <c r="E241" t="s">
        <v>16</v>
      </c>
      <c r="F241" t="s">
        <v>40</v>
      </c>
      <c r="G241">
        <v>7</v>
      </c>
      <c r="H241">
        <v>214</v>
      </c>
      <c r="I241">
        <v>1348.2</v>
      </c>
      <c r="J241">
        <v>0.1</v>
      </c>
      <c r="K241">
        <v>250.29</v>
      </c>
      <c r="L241" s="14">
        <f>sales_data[[#This Row],[Profit]]/sales_data[[#This Row],[Sales]]</f>
        <v>0.18564753004005338</v>
      </c>
      <c r="M241" t="s">
        <v>25</v>
      </c>
      <c r="N241" t="s">
        <v>19</v>
      </c>
    </row>
    <row r="242" spans="1:14" x14ac:dyDescent="0.25">
      <c r="A242" t="s">
        <v>500</v>
      </c>
      <c r="B242" s="1">
        <v>45761</v>
      </c>
      <c r="C242" t="s">
        <v>347</v>
      </c>
      <c r="D242" t="s">
        <v>348</v>
      </c>
      <c r="E242" t="s">
        <v>78</v>
      </c>
      <c r="F242" t="s">
        <v>79</v>
      </c>
      <c r="G242">
        <v>2</v>
      </c>
      <c r="H242">
        <v>121.1</v>
      </c>
      <c r="I242">
        <v>230.09</v>
      </c>
      <c r="J242">
        <v>0.05</v>
      </c>
      <c r="K242">
        <v>84.61</v>
      </c>
      <c r="L242" s="14">
        <f>sales_data[[#This Row],[Profit]]/sales_data[[#This Row],[Sales]]</f>
        <v>0.36772567256291017</v>
      </c>
      <c r="M242" t="s">
        <v>46</v>
      </c>
      <c r="N242" t="s">
        <v>58</v>
      </c>
    </row>
    <row r="243" spans="1:14" x14ac:dyDescent="0.25">
      <c r="A243" t="s">
        <v>501</v>
      </c>
      <c r="B243" s="1">
        <v>45769</v>
      </c>
      <c r="C243" t="s">
        <v>180</v>
      </c>
      <c r="D243" t="s">
        <v>181</v>
      </c>
      <c r="E243" t="s">
        <v>16</v>
      </c>
      <c r="F243" t="s">
        <v>71</v>
      </c>
      <c r="G243">
        <v>1</v>
      </c>
      <c r="H243">
        <v>676.22</v>
      </c>
      <c r="I243">
        <v>676.22</v>
      </c>
      <c r="J243">
        <v>0</v>
      </c>
      <c r="K243">
        <v>126.57</v>
      </c>
      <c r="L243" s="14">
        <f>sales_data[[#This Row],[Profit]]/sales_data[[#This Row],[Sales]]</f>
        <v>0.18717281358137883</v>
      </c>
      <c r="M243" t="s">
        <v>46</v>
      </c>
      <c r="N243" t="s">
        <v>30</v>
      </c>
    </row>
    <row r="244" spans="1:14" x14ac:dyDescent="0.25">
      <c r="A244" t="s">
        <v>502</v>
      </c>
      <c r="B244" s="1">
        <v>45677</v>
      </c>
      <c r="C244" t="s">
        <v>189</v>
      </c>
      <c r="D244" t="s">
        <v>190</v>
      </c>
      <c r="E244" t="s">
        <v>23</v>
      </c>
      <c r="F244" t="s">
        <v>117</v>
      </c>
      <c r="G244">
        <v>3</v>
      </c>
      <c r="H244">
        <v>67.83</v>
      </c>
      <c r="I244">
        <v>193.32</v>
      </c>
      <c r="J244">
        <v>0.05</v>
      </c>
      <c r="K244">
        <v>82.15</v>
      </c>
      <c r="L244" s="14">
        <f>sales_data[[#This Row],[Profit]]/sales_data[[#This Row],[Sales]]</f>
        <v>0.42494309952410514</v>
      </c>
      <c r="M244" t="s">
        <v>46</v>
      </c>
      <c r="N244" t="s">
        <v>30</v>
      </c>
    </row>
    <row r="245" spans="1:14" x14ac:dyDescent="0.25">
      <c r="A245" t="s">
        <v>503</v>
      </c>
      <c r="B245" s="1">
        <v>45677</v>
      </c>
      <c r="C245" t="s">
        <v>161</v>
      </c>
      <c r="D245" t="s">
        <v>162</v>
      </c>
      <c r="E245" t="s">
        <v>44</v>
      </c>
      <c r="F245" t="s">
        <v>45</v>
      </c>
      <c r="G245">
        <v>6</v>
      </c>
      <c r="H245">
        <v>427.34</v>
      </c>
      <c r="I245">
        <v>2435.84</v>
      </c>
      <c r="J245">
        <v>0.05</v>
      </c>
      <c r="K245">
        <v>724.96</v>
      </c>
      <c r="L245" s="14">
        <f>sales_data[[#This Row],[Profit]]/sales_data[[#This Row],[Sales]]</f>
        <v>0.29762217551234893</v>
      </c>
      <c r="M245" t="s">
        <v>25</v>
      </c>
      <c r="N245" t="s">
        <v>19</v>
      </c>
    </row>
    <row r="246" spans="1:14" x14ac:dyDescent="0.25">
      <c r="A246" t="s">
        <v>504</v>
      </c>
      <c r="B246" s="1">
        <v>45845</v>
      </c>
      <c r="C246" t="s">
        <v>505</v>
      </c>
      <c r="D246" t="s">
        <v>506</v>
      </c>
      <c r="E246" t="s">
        <v>16</v>
      </c>
      <c r="F246" t="s">
        <v>40</v>
      </c>
      <c r="G246">
        <v>5</v>
      </c>
      <c r="H246">
        <v>134.26</v>
      </c>
      <c r="I246">
        <v>604.16999999999996</v>
      </c>
      <c r="J246">
        <v>0.1</v>
      </c>
      <c r="K246">
        <v>118.16</v>
      </c>
      <c r="L246" s="14">
        <f>sales_data[[#This Row],[Profit]]/sales_data[[#This Row],[Sales]]</f>
        <v>0.19557409338431236</v>
      </c>
      <c r="M246" t="s">
        <v>46</v>
      </c>
      <c r="N246" t="s">
        <v>58</v>
      </c>
    </row>
    <row r="247" spans="1:14" x14ac:dyDescent="0.25">
      <c r="A247" t="s">
        <v>507</v>
      </c>
      <c r="B247" s="1">
        <v>45712</v>
      </c>
      <c r="C247" t="s">
        <v>81</v>
      </c>
      <c r="D247" t="s">
        <v>82</v>
      </c>
      <c r="E247" t="s">
        <v>16</v>
      </c>
      <c r="F247" t="s">
        <v>89</v>
      </c>
      <c r="G247">
        <v>4</v>
      </c>
      <c r="H247">
        <v>87.04</v>
      </c>
      <c r="I247">
        <v>330.75</v>
      </c>
      <c r="J247">
        <v>0.05</v>
      </c>
      <c r="K247">
        <v>63.51</v>
      </c>
      <c r="L247" s="14">
        <f>sales_data[[#This Row],[Profit]]/sales_data[[#This Row],[Sales]]</f>
        <v>0.19201814058956915</v>
      </c>
      <c r="M247" t="s">
        <v>18</v>
      </c>
      <c r="N247" t="s">
        <v>30</v>
      </c>
    </row>
    <row r="248" spans="1:14" x14ac:dyDescent="0.25">
      <c r="A248" t="s">
        <v>508</v>
      </c>
      <c r="B248" s="1">
        <v>45976</v>
      </c>
      <c r="C248" t="s">
        <v>422</v>
      </c>
      <c r="D248" t="s">
        <v>423</v>
      </c>
      <c r="E248" t="s">
        <v>78</v>
      </c>
      <c r="F248" t="s">
        <v>255</v>
      </c>
      <c r="G248">
        <v>3</v>
      </c>
      <c r="H248">
        <v>18.07</v>
      </c>
      <c r="I248">
        <v>51.5</v>
      </c>
      <c r="J248">
        <v>0.05</v>
      </c>
      <c r="K248">
        <v>18.87</v>
      </c>
      <c r="L248" s="14">
        <f>sales_data[[#This Row],[Profit]]/sales_data[[#This Row],[Sales]]</f>
        <v>0.36640776699029126</v>
      </c>
      <c r="M248" t="s">
        <v>46</v>
      </c>
      <c r="N248" t="s">
        <v>19</v>
      </c>
    </row>
    <row r="249" spans="1:14" x14ac:dyDescent="0.25">
      <c r="A249" t="s">
        <v>509</v>
      </c>
      <c r="B249" s="1">
        <v>45830</v>
      </c>
      <c r="C249" t="s">
        <v>510</v>
      </c>
      <c r="D249" t="s">
        <v>511</v>
      </c>
      <c r="E249" t="s">
        <v>23</v>
      </c>
      <c r="F249" t="s">
        <v>24</v>
      </c>
      <c r="G249">
        <v>6</v>
      </c>
      <c r="H249">
        <v>28.27</v>
      </c>
      <c r="I249">
        <v>161.13999999999999</v>
      </c>
      <c r="J249">
        <v>0.05</v>
      </c>
      <c r="K249">
        <v>70.47</v>
      </c>
      <c r="L249" s="14">
        <f>sales_data[[#This Row],[Profit]]/sales_data[[#This Row],[Sales]]</f>
        <v>0.43732158371602337</v>
      </c>
      <c r="M249" t="s">
        <v>25</v>
      </c>
      <c r="N249" t="s">
        <v>36</v>
      </c>
    </row>
    <row r="250" spans="1:14" x14ac:dyDescent="0.25">
      <c r="A250" t="s">
        <v>512</v>
      </c>
      <c r="B250" s="1">
        <v>45960</v>
      </c>
      <c r="C250" t="s">
        <v>189</v>
      </c>
      <c r="D250" t="s">
        <v>190</v>
      </c>
      <c r="E250" t="s">
        <v>23</v>
      </c>
      <c r="F250" t="s">
        <v>24</v>
      </c>
      <c r="G250">
        <v>1</v>
      </c>
      <c r="H250">
        <v>74.849999999999994</v>
      </c>
      <c r="I250">
        <v>67.36</v>
      </c>
      <c r="J250">
        <v>0.1</v>
      </c>
      <c r="K250">
        <v>28.79</v>
      </c>
      <c r="L250" s="14">
        <f>sales_data[[#This Row],[Profit]]/sales_data[[#This Row],[Sales]]</f>
        <v>0.42740498812351541</v>
      </c>
      <c r="M250" t="s">
        <v>25</v>
      </c>
      <c r="N250" t="s">
        <v>30</v>
      </c>
    </row>
    <row r="251" spans="1:14" x14ac:dyDescent="0.25">
      <c r="A251" t="s">
        <v>513</v>
      </c>
      <c r="B251" s="1">
        <v>45855</v>
      </c>
      <c r="C251" t="s">
        <v>42</v>
      </c>
      <c r="D251" t="s">
        <v>43</v>
      </c>
      <c r="E251" t="s">
        <v>23</v>
      </c>
      <c r="F251" t="s">
        <v>24</v>
      </c>
      <c r="G251">
        <v>6</v>
      </c>
      <c r="H251">
        <v>60.54</v>
      </c>
      <c r="I251">
        <v>326.92</v>
      </c>
      <c r="J251">
        <v>0.1</v>
      </c>
      <c r="K251">
        <v>134.52000000000001</v>
      </c>
      <c r="L251" s="14">
        <f>sales_data[[#This Row],[Profit]]/sales_data[[#This Row],[Sales]]</f>
        <v>0.41147681389942492</v>
      </c>
      <c r="M251" t="s">
        <v>35</v>
      </c>
      <c r="N251" t="s">
        <v>36</v>
      </c>
    </row>
    <row r="252" spans="1:14" x14ac:dyDescent="0.25">
      <c r="A252" t="s">
        <v>514</v>
      </c>
      <c r="B252" s="1">
        <v>45707</v>
      </c>
      <c r="C252" t="s">
        <v>216</v>
      </c>
      <c r="D252" t="s">
        <v>217</v>
      </c>
      <c r="E252" t="s">
        <v>44</v>
      </c>
      <c r="F252" t="s">
        <v>96</v>
      </c>
      <c r="G252">
        <v>5</v>
      </c>
      <c r="H252">
        <v>499.17</v>
      </c>
      <c r="I252">
        <v>2246.2600000000002</v>
      </c>
      <c r="J252">
        <v>0.1</v>
      </c>
      <c r="K252">
        <v>656.82</v>
      </c>
      <c r="L252" s="14">
        <f>sales_data[[#This Row],[Profit]]/sales_data[[#This Row],[Sales]]</f>
        <v>0.29240604382395624</v>
      </c>
      <c r="M252" t="s">
        <v>46</v>
      </c>
      <c r="N252" t="s">
        <v>36</v>
      </c>
    </row>
    <row r="253" spans="1:14" x14ac:dyDescent="0.25">
      <c r="A253" t="s">
        <v>515</v>
      </c>
      <c r="B253" s="1">
        <v>45902</v>
      </c>
      <c r="C253" t="s">
        <v>307</v>
      </c>
      <c r="D253" t="s">
        <v>308</v>
      </c>
      <c r="E253" t="s">
        <v>78</v>
      </c>
      <c r="F253" t="s">
        <v>106</v>
      </c>
      <c r="G253">
        <v>2</v>
      </c>
      <c r="H253">
        <v>154.66999999999999</v>
      </c>
      <c r="I253">
        <v>309.33999999999997</v>
      </c>
      <c r="J253">
        <v>0</v>
      </c>
      <c r="K253">
        <v>117.14</v>
      </c>
      <c r="L253" s="14">
        <f>sales_data[[#This Row],[Profit]]/sales_data[[#This Row],[Sales]]</f>
        <v>0.3786771836813862</v>
      </c>
      <c r="M253" t="s">
        <v>25</v>
      </c>
      <c r="N253" t="s">
        <v>19</v>
      </c>
    </row>
    <row r="254" spans="1:14" x14ac:dyDescent="0.25">
      <c r="A254" t="s">
        <v>516</v>
      </c>
      <c r="B254" s="1">
        <v>45731</v>
      </c>
      <c r="C254" t="s">
        <v>258</v>
      </c>
      <c r="D254" t="s">
        <v>259</v>
      </c>
      <c r="E254" t="s">
        <v>44</v>
      </c>
      <c r="F254" t="s">
        <v>51</v>
      </c>
      <c r="G254">
        <v>5</v>
      </c>
      <c r="H254">
        <v>503.03</v>
      </c>
      <c r="I254">
        <v>2263.64</v>
      </c>
      <c r="J254">
        <v>0.1</v>
      </c>
      <c r="K254">
        <v>698.34</v>
      </c>
      <c r="L254" s="14">
        <f>sales_data[[#This Row],[Profit]]/sales_data[[#This Row],[Sales]]</f>
        <v>0.30850311887049181</v>
      </c>
      <c r="M254" t="s">
        <v>18</v>
      </c>
      <c r="N254" t="s">
        <v>47</v>
      </c>
    </row>
    <row r="255" spans="1:14" x14ac:dyDescent="0.25">
      <c r="A255" t="s">
        <v>517</v>
      </c>
      <c r="B255" s="1">
        <v>45757</v>
      </c>
      <c r="C255" t="s">
        <v>94</v>
      </c>
      <c r="D255" t="s">
        <v>95</v>
      </c>
      <c r="E255" t="s">
        <v>78</v>
      </c>
      <c r="F255" t="s">
        <v>255</v>
      </c>
      <c r="G255">
        <v>1</v>
      </c>
      <c r="H255">
        <v>35.33</v>
      </c>
      <c r="I255">
        <v>31.8</v>
      </c>
      <c r="J255">
        <v>0.1</v>
      </c>
      <c r="K255">
        <v>12.27</v>
      </c>
      <c r="L255" s="14">
        <f>sales_data[[#This Row],[Profit]]/sales_data[[#This Row],[Sales]]</f>
        <v>0.38584905660377355</v>
      </c>
      <c r="M255" t="s">
        <v>18</v>
      </c>
      <c r="N255" t="s">
        <v>30</v>
      </c>
    </row>
    <row r="256" spans="1:14" x14ac:dyDescent="0.25">
      <c r="A256" t="s">
        <v>518</v>
      </c>
      <c r="B256" s="1">
        <v>45870</v>
      </c>
      <c r="C256" t="s">
        <v>76</v>
      </c>
      <c r="D256" t="s">
        <v>77</v>
      </c>
      <c r="E256" t="s">
        <v>23</v>
      </c>
      <c r="F256" t="s">
        <v>281</v>
      </c>
      <c r="G256">
        <v>4</v>
      </c>
      <c r="H256">
        <v>6.43</v>
      </c>
      <c r="I256">
        <v>25.72</v>
      </c>
      <c r="J256">
        <v>0</v>
      </c>
      <c r="K256">
        <v>11.1</v>
      </c>
      <c r="L256" s="14">
        <f>sales_data[[#This Row],[Profit]]/sales_data[[#This Row],[Sales]]</f>
        <v>0.43157076205287714</v>
      </c>
      <c r="M256" t="s">
        <v>18</v>
      </c>
      <c r="N256" t="s">
        <v>30</v>
      </c>
    </row>
    <row r="257" spans="1:14" x14ac:dyDescent="0.25">
      <c r="A257" t="s">
        <v>519</v>
      </c>
      <c r="B257" s="1">
        <v>45993</v>
      </c>
      <c r="C257" t="s">
        <v>98</v>
      </c>
      <c r="D257" t="s">
        <v>99</v>
      </c>
      <c r="E257" t="s">
        <v>23</v>
      </c>
      <c r="F257" t="s">
        <v>29</v>
      </c>
      <c r="G257">
        <v>6</v>
      </c>
      <c r="H257">
        <v>36.020000000000003</v>
      </c>
      <c r="I257">
        <v>183.7</v>
      </c>
      <c r="J257">
        <v>0.15</v>
      </c>
      <c r="K257">
        <v>79.349999999999994</v>
      </c>
      <c r="L257" s="14">
        <f>sales_data[[#This Row],[Profit]]/sales_data[[#This Row],[Sales]]</f>
        <v>0.43195427327163854</v>
      </c>
      <c r="M257" t="s">
        <v>35</v>
      </c>
      <c r="N257" t="s">
        <v>19</v>
      </c>
    </row>
    <row r="258" spans="1:14" x14ac:dyDescent="0.25">
      <c r="A258" t="s">
        <v>520</v>
      </c>
      <c r="B258" s="1">
        <v>45741</v>
      </c>
      <c r="C258" t="s">
        <v>417</v>
      </c>
      <c r="D258" t="s">
        <v>418</v>
      </c>
      <c r="E258" t="s">
        <v>78</v>
      </c>
      <c r="F258" t="s">
        <v>106</v>
      </c>
      <c r="G258">
        <v>2</v>
      </c>
      <c r="H258">
        <v>104.66</v>
      </c>
      <c r="I258">
        <v>198.85</v>
      </c>
      <c r="J258">
        <v>0.05</v>
      </c>
      <c r="K258">
        <v>75.67</v>
      </c>
      <c r="L258" s="14">
        <f>sales_data[[#This Row],[Profit]]/sales_data[[#This Row],[Sales]]</f>
        <v>0.38053809404073424</v>
      </c>
      <c r="M258" t="s">
        <v>18</v>
      </c>
      <c r="N258" t="s">
        <v>47</v>
      </c>
    </row>
    <row r="259" spans="1:14" x14ac:dyDescent="0.25">
      <c r="A259" t="s">
        <v>521</v>
      </c>
      <c r="B259" s="1">
        <v>45805</v>
      </c>
      <c r="C259" t="s">
        <v>232</v>
      </c>
      <c r="D259" t="s">
        <v>233</v>
      </c>
      <c r="E259" t="s">
        <v>23</v>
      </c>
      <c r="F259" t="s">
        <v>24</v>
      </c>
      <c r="G259">
        <v>7</v>
      </c>
      <c r="H259">
        <v>70.92</v>
      </c>
      <c r="I259">
        <v>471.62</v>
      </c>
      <c r="J259">
        <v>0.05</v>
      </c>
      <c r="K259">
        <v>195.8</v>
      </c>
      <c r="L259" s="14">
        <f>sales_data[[#This Row],[Profit]]/sales_data[[#This Row],[Sales]]</f>
        <v>0.41516475128281244</v>
      </c>
      <c r="M259" t="s">
        <v>25</v>
      </c>
      <c r="N259" t="s">
        <v>36</v>
      </c>
    </row>
    <row r="260" spans="1:14" x14ac:dyDescent="0.25">
      <c r="A260" t="s">
        <v>522</v>
      </c>
      <c r="B260" s="1">
        <v>45739</v>
      </c>
      <c r="C260" t="s">
        <v>399</v>
      </c>
      <c r="D260" t="s">
        <v>400</v>
      </c>
      <c r="E260" t="s">
        <v>44</v>
      </c>
      <c r="F260" t="s">
        <v>51</v>
      </c>
      <c r="G260">
        <v>3</v>
      </c>
      <c r="H260">
        <v>515.85</v>
      </c>
      <c r="I260">
        <v>1547.55</v>
      </c>
      <c r="J260">
        <v>0</v>
      </c>
      <c r="K260">
        <v>464.04</v>
      </c>
      <c r="L260" s="14">
        <f>sales_data[[#This Row],[Profit]]/sales_data[[#This Row],[Sales]]</f>
        <v>0.29985460889793547</v>
      </c>
      <c r="M260" t="s">
        <v>18</v>
      </c>
      <c r="N260" t="s">
        <v>36</v>
      </c>
    </row>
    <row r="261" spans="1:14" x14ac:dyDescent="0.25">
      <c r="A261" t="s">
        <v>523</v>
      </c>
      <c r="B261" s="1">
        <v>45818</v>
      </c>
      <c r="C261" t="s">
        <v>139</v>
      </c>
      <c r="D261" t="s">
        <v>140</v>
      </c>
      <c r="E261" t="s">
        <v>78</v>
      </c>
      <c r="F261" t="s">
        <v>79</v>
      </c>
      <c r="G261">
        <v>5</v>
      </c>
      <c r="H261">
        <v>46.75</v>
      </c>
      <c r="I261">
        <v>233.75</v>
      </c>
      <c r="J261">
        <v>0</v>
      </c>
      <c r="K261">
        <v>85.2</v>
      </c>
      <c r="L261" s="14">
        <f>sales_data[[#This Row],[Profit]]/sales_data[[#This Row],[Sales]]</f>
        <v>0.36449197860962568</v>
      </c>
      <c r="M261" t="s">
        <v>18</v>
      </c>
      <c r="N261" t="s">
        <v>36</v>
      </c>
    </row>
    <row r="262" spans="1:14" x14ac:dyDescent="0.25">
      <c r="A262" t="s">
        <v>524</v>
      </c>
      <c r="B262" s="1">
        <v>45718</v>
      </c>
      <c r="C262" t="s">
        <v>125</v>
      </c>
      <c r="D262" t="s">
        <v>126</v>
      </c>
      <c r="E262" t="s">
        <v>44</v>
      </c>
      <c r="F262" t="s">
        <v>51</v>
      </c>
      <c r="G262">
        <v>4</v>
      </c>
      <c r="H262">
        <v>514.29</v>
      </c>
      <c r="I262">
        <v>2057.16</v>
      </c>
      <c r="J262">
        <v>0</v>
      </c>
      <c r="K262">
        <v>594.04</v>
      </c>
      <c r="L262" s="14">
        <f>sales_data[[#This Row],[Profit]]/sales_data[[#This Row],[Sales]]</f>
        <v>0.28876703805246068</v>
      </c>
      <c r="M262" t="s">
        <v>35</v>
      </c>
      <c r="N262" t="s">
        <v>47</v>
      </c>
    </row>
    <row r="263" spans="1:14" x14ac:dyDescent="0.25">
      <c r="A263" t="s">
        <v>525</v>
      </c>
      <c r="B263" s="1">
        <v>45722</v>
      </c>
      <c r="C263" t="s">
        <v>289</v>
      </c>
      <c r="D263" t="s">
        <v>290</v>
      </c>
      <c r="E263" t="s">
        <v>16</v>
      </c>
      <c r="F263" t="s">
        <v>89</v>
      </c>
      <c r="G263">
        <v>5</v>
      </c>
      <c r="H263">
        <v>190.63</v>
      </c>
      <c r="I263">
        <v>857.84</v>
      </c>
      <c r="J263">
        <v>0.1</v>
      </c>
      <c r="K263">
        <v>174.59</v>
      </c>
      <c r="L263" s="14">
        <f>sales_data[[#This Row],[Profit]]/sales_data[[#This Row],[Sales]]</f>
        <v>0.20352280145481674</v>
      </c>
      <c r="M263" t="s">
        <v>46</v>
      </c>
      <c r="N263" t="s">
        <v>47</v>
      </c>
    </row>
    <row r="264" spans="1:14" x14ac:dyDescent="0.25">
      <c r="A264" t="s">
        <v>526</v>
      </c>
      <c r="B264" s="1">
        <v>45782</v>
      </c>
      <c r="C264" t="s">
        <v>158</v>
      </c>
      <c r="D264" t="s">
        <v>159</v>
      </c>
      <c r="E264" t="s">
        <v>78</v>
      </c>
      <c r="F264" t="s">
        <v>106</v>
      </c>
      <c r="G264">
        <v>6</v>
      </c>
      <c r="H264">
        <v>57.98</v>
      </c>
      <c r="I264">
        <v>313.08999999999997</v>
      </c>
      <c r="J264">
        <v>0.1</v>
      </c>
      <c r="K264">
        <v>121.05</v>
      </c>
      <c r="L264" s="14">
        <f>sales_data[[#This Row],[Profit]]/sales_data[[#This Row],[Sales]]</f>
        <v>0.38663004247979815</v>
      </c>
      <c r="M264" t="s">
        <v>18</v>
      </c>
      <c r="N264" t="s">
        <v>47</v>
      </c>
    </row>
    <row r="265" spans="1:14" x14ac:dyDescent="0.25">
      <c r="A265" t="s">
        <v>527</v>
      </c>
      <c r="B265" s="1">
        <v>45976</v>
      </c>
      <c r="C265" t="s">
        <v>459</v>
      </c>
      <c r="D265" t="s">
        <v>460</v>
      </c>
      <c r="E265" t="s">
        <v>78</v>
      </c>
      <c r="F265" t="s">
        <v>106</v>
      </c>
      <c r="G265">
        <v>7</v>
      </c>
      <c r="H265">
        <v>158.01</v>
      </c>
      <c r="I265">
        <v>1050.77</v>
      </c>
      <c r="J265">
        <v>0.05</v>
      </c>
      <c r="K265">
        <v>385.89</v>
      </c>
      <c r="L265" s="14">
        <f>sales_data[[#This Row],[Profit]]/sales_data[[#This Row],[Sales]]</f>
        <v>0.36724497273428058</v>
      </c>
      <c r="M265" t="s">
        <v>25</v>
      </c>
      <c r="N265" t="s">
        <v>19</v>
      </c>
    </row>
    <row r="266" spans="1:14" x14ac:dyDescent="0.25">
      <c r="A266" t="s">
        <v>528</v>
      </c>
      <c r="B266" s="1">
        <v>45749</v>
      </c>
      <c r="C266" t="s">
        <v>66</v>
      </c>
      <c r="D266" t="s">
        <v>67</v>
      </c>
      <c r="E266" t="s">
        <v>23</v>
      </c>
      <c r="F266" t="s">
        <v>281</v>
      </c>
      <c r="G266">
        <v>3</v>
      </c>
      <c r="H266">
        <v>75.89</v>
      </c>
      <c r="I266">
        <v>204.9</v>
      </c>
      <c r="J266">
        <v>0.1</v>
      </c>
      <c r="K266">
        <v>85.54</v>
      </c>
      <c r="L266" s="14">
        <f>sales_data[[#This Row],[Profit]]/sales_data[[#This Row],[Sales]]</f>
        <v>0.41747193753050271</v>
      </c>
      <c r="M266" t="s">
        <v>35</v>
      </c>
      <c r="N266" t="s">
        <v>47</v>
      </c>
    </row>
    <row r="267" spans="1:14" x14ac:dyDescent="0.25">
      <c r="A267" t="s">
        <v>529</v>
      </c>
      <c r="B267" s="1">
        <v>45701</v>
      </c>
      <c r="C267" t="s">
        <v>378</v>
      </c>
      <c r="D267" t="s">
        <v>379</v>
      </c>
      <c r="E267" t="s">
        <v>16</v>
      </c>
      <c r="F267" t="s">
        <v>34</v>
      </c>
      <c r="G267">
        <v>2</v>
      </c>
      <c r="H267">
        <v>609.92999999999995</v>
      </c>
      <c r="I267">
        <v>1219.8599999999999</v>
      </c>
      <c r="J267">
        <v>0</v>
      </c>
      <c r="K267">
        <v>232.14</v>
      </c>
      <c r="L267" s="14">
        <f>sales_data[[#This Row],[Profit]]/sales_data[[#This Row],[Sales]]</f>
        <v>0.19030052628990213</v>
      </c>
      <c r="M267" t="s">
        <v>35</v>
      </c>
      <c r="N267" t="s">
        <v>58</v>
      </c>
    </row>
    <row r="268" spans="1:14" x14ac:dyDescent="0.25">
      <c r="A268" t="s">
        <v>530</v>
      </c>
      <c r="B268" s="1">
        <v>45854</v>
      </c>
      <c r="C268" t="s">
        <v>219</v>
      </c>
      <c r="D268" t="s">
        <v>220</v>
      </c>
      <c r="E268" t="s">
        <v>44</v>
      </c>
      <c r="F268" t="s">
        <v>127</v>
      </c>
      <c r="G268">
        <v>3</v>
      </c>
      <c r="H268">
        <v>166.52</v>
      </c>
      <c r="I268">
        <v>474.58</v>
      </c>
      <c r="J268">
        <v>0.05</v>
      </c>
      <c r="K268">
        <v>143.03</v>
      </c>
      <c r="L268" s="14">
        <f>sales_data[[#This Row],[Profit]]/sales_data[[#This Row],[Sales]]</f>
        <v>0.30138227485355473</v>
      </c>
      <c r="M268" t="s">
        <v>25</v>
      </c>
      <c r="N268" t="s">
        <v>36</v>
      </c>
    </row>
    <row r="269" spans="1:14" x14ac:dyDescent="0.25">
      <c r="A269" t="s">
        <v>531</v>
      </c>
      <c r="B269" s="1">
        <v>45729</v>
      </c>
      <c r="C269" t="s">
        <v>32</v>
      </c>
      <c r="D269" t="s">
        <v>33</v>
      </c>
      <c r="E269" t="s">
        <v>44</v>
      </c>
      <c r="F269" t="s">
        <v>51</v>
      </c>
      <c r="G269">
        <v>1</v>
      </c>
      <c r="H269">
        <v>295.3</v>
      </c>
      <c r="I269">
        <v>251</v>
      </c>
      <c r="J269">
        <v>0.15</v>
      </c>
      <c r="K269">
        <v>73.8</v>
      </c>
      <c r="L269" s="14">
        <f>sales_data[[#This Row],[Profit]]/sales_data[[#This Row],[Sales]]</f>
        <v>0.29402390438247011</v>
      </c>
      <c r="M269" t="s">
        <v>46</v>
      </c>
      <c r="N269" t="s">
        <v>30</v>
      </c>
    </row>
    <row r="270" spans="1:14" x14ac:dyDescent="0.25">
      <c r="A270" t="s">
        <v>532</v>
      </c>
      <c r="B270" s="1">
        <v>45920</v>
      </c>
      <c r="C270" t="s">
        <v>470</v>
      </c>
      <c r="D270" t="s">
        <v>471</v>
      </c>
      <c r="E270" t="s">
        <v>23</v>
      </c>
      <c r="F270" t="s">
        <v>281</v>
      </c>
      <c r="G270">
        <v>3</v>
      </c>
      <c r="H270">
        <v>30.96</v>
      </c>
      <c r="I270">
        <v>78.95</v>
      </c>
      <c r="J270">
        <v>0.15</v>
      </c>
      <c r="K270">
        <v>34.340000000000003</v>
      </c>
      <c r="L270" s="14">
        <f>sales_data[[#This Row],[Profit]]/sales_data[[#This Row],[Sales]]</f>
        <v>0.43495883470550983</v>
      </c>
      <c r="M270" t="s">
        <v>46</v>
      </c>
      <c r="N270" t="s">
        <v>36</v>
      </c>
    </row>
    <row r="271" spans="1:14" x14ac:dyDescent="0.25">
      <c r="A271" t="s">
        <v>533</v>
      </c>
      <c r="B271" s="1">
        <v>45833</v>
      </c>
      <c r="C271" t="s">
        <v>14</v>
      </c>
      <c r="D271" t="s">
        <v>15</v>
      </c>
      <c r="E271" t="s">
        <v>23</v>
      </c>
      <c r="F271" t="s">
        <v>196</v>
      </c>
      <c r="G271">
        <v>5</v>
      </c>
      <c r="H271">
        <v>36.9</v>
      </c>
      <c r="I271">
        <v>166.05</v>
      </c>
      <c r="J271">
        <v>0.1</v>
      </c>
      <c r="K271">
        <v>72.650000000000006</v>
      </c>
      <c r="L271" s="14">
        <f>sales_data[[#This Row],[Profit]]/sales_data[[#This Row],[Sales]]</f>
        <v>0.43751881963264078</v>
      </c>
      <c r="M271" t="s">
        <v>25</v>
      </c>
      <c r="N271" t="s">
        <v>36</v>
      </c>
    </row>
    <row r="272" spans="1:14" x14ac:dyDescent="0.25">
      <c r="A272" t="s">
        <v>534</v>
      </c>
      <c r="B272" s="1">
        <v>45720</v>
      </c>
      <c r="C272" t="s">
        <v>53</v>
      </c>
      <c r="D272" t="s">
        <v>54</v>
      </c>
      <c r="E272" t="s">
        <v>78</v>
      </c>
      <c r="F272" t="s">
        <v>255</v>
      </c>
      <c r="G272">
        <v>7</v>
      </c>
      <c r="H272">
        <v>29.06</v>
      </c>
      <c r="I272">
        <v>183.08</v>
      </c>
      <c r="J272">
        <v>0.1</v>
      </c>
      <c r="K272">
        <v>69.63</v>
      </c>
      <c r="L272" s="14">
        <f>sales_data[[#This Row],[Profit]]/sales_data[[#This Row],[Sales]]</f>
        <v>0.38032554074721431</v>
      </c>
      <c r="M272" t="s">
        <v>25</v>
      </c>
      <c r="N272" t="s">
        <v>47</v>
      </c>
    </row>
    <row r="273" spans="1:14" x14ac:dyDescent="0.25">
      <c r="A273" t="s">
        <v>535</v>
      </c>
      <c r="B273" s="1">
        <v>45982</v>
      </c>
      <c r="C273" t="s">
        <v>115</v>
      </c>
      <c r="D273" t="s">
        <v>116</v>
      </c>
      <c r="E273" t="s">
        <v>44</v>
      </c>
      <c r="F273" t="s">
        <v>127</v>
      </c>
      <c r="G273">
        <v>3</v>
      </c>
      <c r="H273">
        <v>383.36</v>
      </c>
      <c r="I273">
        <v>1035.07</v>
      </c>
      <c r="J273">
        <v>0.1</v>
      </c>
      <c r="K273">
        <v>293.23</v>
      </c>
      <c r="L273" s="14">
        <f>sales_data[[#This Row],[Profit]]/sales_data[[#This Row],[Sales]]</f>
        <v>0.283294849623697</v>
      </c>
      <c r="M273" t="s">
        <v>46</v>
      </c>
      <c r="N273" t="s">
        <v>19</v>
      </c>
    </row>
    <row r="274" spans="1:14" x14ac:dyDescent="0.25">
      <c r="A274" t="s">
        <v>536</v>
      </c>
      <c r="B274" s="1">
        <v>45922</v>
      </c>
      <c r="C274" t="s">
        <v>81</v>
      </c>
      <c r="D274" t="s">
        <v>82</v>
      </c>
      <c r="E274" t="s">
        <v>78</v>
      </c>
      <c r="F274" t="s">
        <v>79</v>
      </c>
      <c r="G274">
        <v>6</v>
      </c>
      <c r="H274">
        <v>101.02</v>
      </c>
      <c r="I274">
        <v>545.51</v>
      </c>
      <c r="J274">
        <v>0.1</v>
      </c>
      <c r="K274">
        <v>207.6</v>
      </c>
      <c r="L274" s="14">
        <f>sales_data[[#This Row],[Profit]]/sales_data[[#This Row],[Sales]]</f>
        <v>0.38056130960019063</v>
      </c>
      <c r="M274" t="s">
        <v>18</v>
      </c>
      <c r="N274" t="s">
        <v>47</v>
      </c>
    </row>
    <row r="275" spans="1:14" x14ac:dyDescent="0.25">
      <c r="A275" t="s">
        <v>537</v>
      </c>
      <c r="B275" s="1">
        <v>45870</v>
      </c>
      <c r="C275" t="s">
        <v>232</v>
      </c>
      <c r="D275" t="s">
        <v>233</v>
      </c>
      <c r="E275" t="s">
        <v>78</v>
      </c>
      <c r="F275" t="s">
        <v>79</v>
      </c>
      <c r="G275">
        <v>2</v>
      </c>
      <c r="H275">
        <v>148.91</v>
      </c>
      <c r="I275">
        <v>253.15</v>
      </c>
      <c r="J275">
        <v>0.15</v>
      </c>
      <c r="K275">
        <v>94.74</v>
      </c>
      <c r="L275" s="14">
        <f>sales_data[[#This Row],[Profit]]/sales_data[[#This Row],[Sales]]</f>
        <v>0.3742445190598459</v>
      </c>
      <c r="M275" t="s">
        <v>25</v>
      </c>
      <c r="N275" t="s">
        <v>19</v>
      </c>
    </row>
    <row r="276" spans="1:14" x14ac:dyDescent="0.25">
      <c r="A276" t="s">
        <v>538</v>
      </c>
      <c r="B276" s="1">
        <v>45847</v>
      </c>
      <c r="C276" t="s">
        <v>119</v>
      </c>
      <c r="D276" t="s">
        <v>120</v>
      </c>
      <c r="E276" t="s">
        <v>16</v>
      </c>
      <c r="F276" t="s">
        <v>89</v>
      </c>
      <c r="G276">
        <v>5</v>
      </c>
      <c r="H276">
        <v>518.64</v>
      </c>
      <c r="I276">
        <v>2204.2199999999998</v>
      </c>
      <c r="J276">
        <v>0.15</v>
      </c>
      <c r="K276">
        <v>413.97</v>
      </c>
      <c r="L276" s="14">
        <f>sales_data[[#This Row],[Profit]]/sales_data[[#This Row],[Sales]]</f>
        <v>0.18780793205759863</v>
      </c>
      <c r="M276" t="s">
        <v>46</v>
      </c>
      <c r="N276" t="s">
        <v>47</v>
      </c>
    </row>
    <row r="277" spans="1:14" x14ac:dyDescent="0.25">
      <c r="A277" t="s">
        <v>539</v>
      </c>
      <c r="B277" s="1">
        <v>45982</v>
      </c>
      <c r="C277" t="s">
        <v>27</v>
      </c>
      <c r="D277" t="s">
        <v>28</v>
      </c>
      <c r="E277" t="s">
        <v>23</v>
      </c>
      <c r="F277" t="s">
        <v>117</v>
      </c>
      <c r="G277">
        <v>3</v>
      </c>
      <c r="H277">
        <v>67.97</v>
      </c>
      <c r="I277">
        <v>203.91</v>
      </c>
      <c r="J277">
        <v>0</v>
      </c>
      <c r="K277">
        <v>89.53</v>
      </c>
      <c r="L277" s="14">
        <f>sales_data[[#This Row],[Profit]]/sales_data[[#This Row],[Sales]]</f>
        <v>0.43906625472021971</v>
      </c>
      <c r="M277" t="s">
        <v>35</v>
      </c>
      <c r="N277" t="s">
        <v>47</v>
      </c>
    </row>
    <row r="278" spans="1:14" x14ac:dyDescent="0.25">
      <c r="A278" t="s">
        <v>540</v>
      </c>
      <c r="B278" s="1">
        <v>45704</v>
      </c>
      <c r="C278" t="s">
        <v>158</v>
      </c>
      <c r="D278" t="s">
        <v>159</v>
      </c>
      <c r="E278" t="s">
        <v>16</v>
      </c>
      <c r="F278" t="s">
        <v>40</v>
      </c>
      <c r="G278">
        <v>6</v>
      </c>
      <c r="H278">
        <v>1030.49</v>
      </c>
      <c r="I278">
        <v>6182.94</v>
      </c>
      <c r="J278">
        <v>0</v>
      </c>
      <c r="K278">
        <v>1143.1600000000001</v>
      </c>
      <c r="L278" s="14">
        <f>sales_data[[#This Row],[Profit]]/sales_data[[#This Row],[Sales]]</f>
        <v>0.1848893891902558</v>
      </c>
      <c r="M278" t="s">
        <v>18</v>
      </c>
      <c r="N278" t="s">
        <v>58</v>
      </c>
    </row>
    <row r="279" spans="1:14" x14ac:dyDescent="0.25">
      <c r="A279" t="s">
        <v>541</v>
      </c>
      <c r="B279" s="1">
        <v>45960</v>
      </c>
      <c r="C279" t="s">
        <v>228</v>
      </c>
      <c r="D279" t="s">
        <v>229</v>
      </c>
      <c r="E279" t="s">
        <v>23</v>
      </c>
      <c r="F279" t="s">
        <v>117</v>
      </c>
      <c r="G279">
        <v>7</v>
      </c>
      <c r="H279">
        <v>19.37</v>
      </c>
      <c r="I279">
        <v>135.59</v>
      </c>
      <c r="J279">
        <v>0</v>
      </c>
      <c r="K279">
        <v>58.42</v>
      </c>
      <c r="L279" s="14">
        <f>sales_data[[#This Row],[Profit]]/sales_data[[#This Row],[Sales]]</f>
        <v>0.4308577328711557</v>
      </c>
      <c r="M279" t="s">
        <v>46</v>
      </c>
      <c r="N279" t="s">
        <v>30</v>
      </c>
    </row>
    <row r="280" spans="1:14" x14ac:dyDescent="0.25">
      <c r="A280" t="s">
        <v>542</v>
      </c>
      <c r="B280" s="1">
        <v>45696</v>
      </c>
      <c r="C280" t="s">
        <v>262</v>
      </c>
      <c r="D280" t="s">
        <v>263</v>
      </c>
      <c r="E280" t="s">
        <v>78</v>
      </c>
      <c r="F280" t="s">
        <v>79</v>
      </c>
      <c r="G280">
        <v>3</v>
      </c>
      <c r="H280">
        <v>18.16</v>
      </c>
      <c r="I280">
        <v>46.31</v>
      </c>
      <c r="J280">
        <v>0.15</v>
      </c>
      <c r="K280">
        <v>17.16</v>
      </c>
      <c r="L280" s="14">
        <f>sales_data[[#This Row],[Profit]]/sales_data[[#This Row],[Sales]]</f>
        <v>0.37054631828978618</v>
      </c>
      <c r="M280" t="s">
        <v>46</v>
      </c>
      <c r="N280" t="s">
        <v>58</v>
      </c>
    </row>
    <row r="281" spans="1:14" x14ac:dyDescent="0.25">
      <c r="A281" t="s">
        <v>543</v>
      </c>
      <c r="B281" s="1">
        <v>45748</v>
      </c>
      <c r="C281" t="s">
        <v>125</v>
      </c>
      <c r="D281" t="s">
        <v>126</v>
      </c>
      <c r="E281" t="s">
        <v>16</v>
      </c>
      <c r="F281" t="s">
        <v>34</v>
      </c>
      <c r="G281">
        <v>6</v>
      </c>
      <c r="H281">
        <v>565.91999999999996</v>
      </c>
      <c r="I281">
        <v>2886.19</v>
      </c>
      <c r="J281">
        <v>0.15</v>
      </c>
      <c r="K281">
        <v>558.77</v>
      </c>
      <c r="L281" s="14">
        <f>sales_data[[#This Row],[Profit]]/sales_data[[#This Row],[Sales]]</f>
        <v>0.19360125286277063</v>
      </c>
      <c r="M281" t="s">
        <v>18</v>
      </c>
      <c r="N281" t="s">
        <v>58</v>
      </c>
    </row>
    <row r="282" spans="1:14" x14ac:dyDescent="0.25">
      <c r="A282" t="s">
        <v>544</v>
      </c>
      <c r="B282" s="1">
        <v>45741</v>
      </c>
      <c r="C282" t="s">
        <v>177</v>
      </c>
      <c r="D282" t="s">
        <v>178</v>
      </c>
      <c r="E282" t="s">
        <v>78</v>
      </c>
      <c r="F282" t="s">
        <v>106</v>
      </c>
      <c r="G282">
        <v>1</v>
      </c>
      <c r="H282">
        <v>80.489999999999995</v>
      </c>
      <c r="I282">
        <v>80.489999999999995</v>
      </c>
      <c r="J282">
        <v>0</v>
      </c>
      <c r="K282">
        <v>29.06</v>
      </c>
      <c r="L282" s="14">
        <f>sales_data[[#This Row],[Profit]]/sales_data[[#This Row],[Sales]]</f>
        <v>0.36103863834016647</v>
      </c>
      <c r="M282" t="s">
        <v>46</v>
      </c>
      <c r="N282" t="s">
        <v>36</v>
      </c>
    </row>
    <row r="283" spans="1:14" x14ac:dyDescent="0.25">
      <c r="A283" t="s">
        <v>545</v>
      </c>
      <c r="B283" s="1">
        <v>45932</v>
      </c>
      <c r="C283" t="s">
        <v>462</v>
      </c>
      <c r="D283" t="s">
        <v>463</v>
      </c>
      <c r="E283" t="s">
        <v>16</v>
      </c>
      <c r="F283" t="s">
        <v>34</v>
      </c>
      <c r="G283">
        <v>4</v>
      </c>
      <c r="H283">
        <v>46.16</v>
      </c>
      <c r="I283">
        <v>147.71</v>
      </c>
      <c r="J283">
        <v>0.2</v>
      </c>
      <c r="K283">
        <v>27.8</v>
      </c>
      <c r="L283" s="14">
        <f>sales_data[[#This Row],[Profit]]/sales_data[[#This Row],[Sales]]</f>
        <v>0.18820662108184957</v>
      </c>
      <c r="M283" t="s">
        <v>18</v>
      </c>
      <c r="N283" t="s">
        <v>30</v>
      </c>
    </row>
    <row r="284" spans="1:14" x14ac:dyDescent="0.25">
      <c r="A284" t="s">
        <v>546</v>
      </c>
      <c r="B284" s="1">
        <v>45932</v>
      </c>
      <c r="C284" t="s">
        <v>42</v>
      </c>
      <c r="D284" t="s">
        <v>43</v>
      </c>
      <c r="E284" t="s">
        <v>78</v>
      </c>
      <c r="F284" t="s">
        <v>79</v>
      </c>
      <c r="G284">
        <v>4</v>
      </c>
      <c r="H284">
        <v>27.36</v>
      </c>
      <c r="I284">
        <v>98.5</v>
      </c>
      <c r="J284">
        <v>0.1</v>
      </c>
      <c r="K284">
        <v>36.82</v>
      </c>
      <c r="L284" s="14">
        <f>sales_data[[#This Row],[Profit]]/sales_data[[#This Row],[Sales]]</f>
        <v>0.37380710659898475</v>
      </c>
      <c r="M284" t="s">
        <v>25</v>
      </c>
      <c r="N284" t="s">
        <v>36</v>
      </c>
    </row>
    <row r="285" spans="1:14" x14ac:dyDescent="0.25">
      <c r="A285" t="s">
        <v>547</v>
      </c>
      <c r="B285" s="1">
        <v>45965</v>
      </c>
      <c r="C285" t="s">
        <v>489</v>
      </c>
      <c r="D285" t="s">
        <v>490</v>
      </c>
      <c r="E285" t="s">
        <v>16</v>
      </c>
      <c r="F285" t="s">
        <v>71</v>
      </c>
      <c r="G285">
        <v>6</v>
      </c>
      <c r="H285">
        <v>728.07</v>
      </c>
      <c r="I285">
        <v>4368.42</v>
      </c>
      <c r="J285">
        <v>0</v>
      </c>
      <c r="K285">
        <v>878.06</v>
      </c>
      <c r="L285" s="14">
        <f>sales_data[[#This Row],[Profit]]/sales_data[[#This Row],[Sales]]</f>
        <v>0.20100173518114098</v>
      </c>
      <c r="M285" t="s">
        <v>46</v>
      </c>
      <c r="N285" t="s">
        <v>36</v>
      </c>
    </row>
    <row r="286" spans="1:14" x14ac:dyDescent="0.25">
      <c r="A286" t="s">
        <v>548</v>
      </c>
      <c r="B286" s="1">
        <v>45921</v>
      </c>
      <c r="C286" t="s">
        <v>410</v>
      </c>
      <c r="D286" t="s">
        <v>411</v>
      </c>
      <c r="E286" t="s">
        <v>16</v>
      </c>
      <c r="F286" t="s">
        <v>40</v>
      </c>
      <c r="G286">
        <v>1</v>
      </c>
      <c r="H286">
        <v>413.23</v>
      </c>
      <c r="I286">
        <v>392.57</v>
      </c>
      <c r="J286">
        <v>0.05</v>
      </c>
      <c r="K286">
        <v>70.790000000000006</v>
      </c>
      <c r="L286" s="14">
        <f>sales_data[[#This Row],[Profit]]/sales_data[[#This Row],[Sales]]</f>
        <v>0.18032452810963651</v>
      </c>
      <c r="M286" t="s">
        <v>18</v>
      </c>
      <c r="N286" t="s">
        <v>19</v>
      </c>
    </row>
    <row r="287" spans="1:14" x14ac:dyDescent="0.25">
      <c r="A287" t="s">
        <v>549</v>
      </c>
      <c r="B287" s="1">
        <v>45692</v>
      </c>
      <c r="C287" t="s">
        <v>550</v>
      </c>
      <c r="D287" t="s">
        <v>551</v>
      </c>
      <c r="E287" t="s">
        <v>78</v>
      </c>
      <c r="F287" t="s">
        <v>79</v>
      </c>
      <c r="G287">
        <v>6</v>
      </c>
      <c r="H287">
        <v>155.18</v>
      </c>
      <c r="I287">
        <v>884.53</v>
      </c>
      <c r="J287">
        <v>0.05</v>
      </c>
      <c r="K287">
        <v>343.28</v>
      </c>
      <c r="L287" s="14">
        <f>sales_data[[#This Row],[Profit]]/sales_data[[#This Row],[Sales]]</f>
        <v>0.3880931115959888</v>
      </c>
      <c r="M287" t="s">
        <v>25</v>
      </c>
      <c r="N287" t="s">
        <v>19</v>
      </c>
    </row>
    <row r="288" spans="1:14" x14ac:dyDescent="0.25">
      <c r="A288" t="s">
        <v>552</v>
      </c>
      <c r="B288" s="1">
        <v>45858</v>
      </c>
      <c r="C288" t="s">
        <v>237</v>
      </c>
      <c r="D288" t="s">
        <v>238</v>
      </c>
      <c r="E288" t="s">
        <v>23</v>
      </c>
      <c r="F288" t="s">
        <v>117</v>
      </c>
      <c r="G288">
        <v>1</v>
      </c>
      <c r="H288">
        <v>54.53</v>
      </c>
      <c r="I288">
        <v>46.35</v>
      </c>
      <c r="J288">
        <v>0.15</v>
      </c>
      <c r="K288">
        <v>19.170000000000002</v>
      </c>
      <c r="L288" s="14">
        <f>sales_data[[#This Row],[Profit]]/sales_data[[#This Row],[Sales]]</f>
        <v>0.41359223300970877</v>
      </c>
      <c r="M288" t="s">
        <v>35</v>
      </c>
      <c r="N288" t="s">
        <v>19</v>
      </c>
    </row>
    <row r="289" spans="1:14" x14ac:dyDescent="0.25">
      <c r="A289" t="s">
        <v>553</v>
      </c>
      <c r="B289" s="1">
        <v>45733</v>
      </c>
      <c r="C289" t="s">
        <v>554</v>
      </c>
      <c r="D289" t="s">
        <v>555</v>
      </c>
      <c r="E289" t="s">
        <v>23</v>
      </c>
      <c r="F289" t="s">
        <v>281</v>
      </c>
      <c r="G289">
        <v>7</v>
      </c>
      <c r="H289">
        <v>13.59</v>
      </c>
      <c r="I289">
        <v>90.37</v>
      </c>
      <c r="J289">
        <v>0.05</v>
      </c>
      <c r="K289">
        <v>39.32</v>
      </c>
      <c r="L289" s="14">
        <f>sales_data[[#This Row],[Profit]]/sales_data[[#This Row],[Sales]]</f>
        <v>0.43510014385304857</v>
      </c>
      <c r="M289" t="s">
        <v>46</v>
      </c>
      <c r="N289" t="s">
        <v>19</v>
      </c>
    </row>
    <row r="290" spans="1:14" x14ac:dyDescent="0.25">
      <c r="A290" t="s">
        <v>556</v>
      </c>
      <c r="B290" s="1">
        <v>45814</v>
      </c>
      <c r="C290" t="s">
        <v>219</v>
      </c>
      <c r="D290" t="s">
        <v>220</v>
      </c>
      <c r="E290" t="s">
        <v>23</v>
      </c>
      <c r="F290" t="s">
        <v>281</v>
      </c>
      <c r="G290">
        <v>4</v>
      </c>
      <c r="H290">
        <v>55.08</v>
      </c>
      <c r="I290">
        <v>220.32</v>
      </c>
      <c r="J290">
        <v>0</v>
      </c>
      <c r="K290">
        <v>95.39</v>
      </c>
      <c r="L290" s="14">
        <f>sales_data[[#This Row],[Profit]]/sales_data[[#This Row],[Sales]]</f>
        <v>0.43296114742193176</v>
      </c>
      <c r="M290" t="s">
        <v>25</v>
      </c>
      <c r="N290" t="s">
        <v>19</v>
      </c>
    </row>
    <row r="291" spans="1:14" x14ac:dyDescent="0.25">
      <c r="A291" t="s">
        <v>557</v>
      </c>
      <c r="B291" s="1">
        <v>45851</v>
      </c>
      <c r="C291" t="s">
        <v>232</v>
      </c>
      <c r="D291" t="s">
        <v>233</v>
      </c>
      <c r="E291" t="s">
        <v>78</v>
      </c>
      <c r="F291" t="s">
        <v>79</v>
      </c>
      <c r="G291">
        <v>2</v>
      </c>
      <c r="H291">
        <v>89.34</v>
      </c>
      <c r="I291">
        <v>142.94</v>
      </c>
      <c r="J291">
        <v>0.2</v>
      </c>
      <c r="K291">
        <v>54.59</v>
      </c>
      <c r="L291" s="14">
        <f>sales_data[[#This Row],[Profit]]/sales_data[[#This Row],[Sales]]</f>
        <v>0.38190849307401709</v>
      </c>
      <c r="M291" t="s">
        <v>46</v>
      </c>
      <c r="N291" t="s">
        <v>36</v>
      </c>
    </row>
    <row r="292" spans="1:14" x14ac:dyDescent="0.25">
      <c r="A292" t="s">
        <v>558</v>
      </c>
      <c r="B292" s="1">
        <v>45925</v>
      </c>
      <c r="C292" t="s">
        <v>248</v>
      </c>
      <c r="D292" t="s">
        <v>249</v>
      </c>
      <c r="E292" t="s">
        <v>16</v>
      </c>
      <c r="F292" t="s">
        <v>17</v>
      </c>
      <c r="G292">
        <v>2</v>
      </c>
      <c r="H292">
        <v>1091.17</v>
      </c>
      <c r="I292">
        <v>2182.34</v>
      </c>
      <c r="J292">
        <v>0</v>
      </c>
      <c r="K292">
        <v>427.54</v>
      </c>
      <c r="L292" s="14">
        <f>sales_data[[#This Row],[Profit]]/sales_data[[#This Row],[Sales]]</f>
        <v>0.19590897843599073</v>
      </c>
      <c r="M292" t="s">
        <v>35</v>
      </c>
      <c r="N292" t="s">
        <v>19</v>
      </c>
    </row>
    <row r="293" spans="1:14" x14ac:dyDescent="0.25">
      <c r="A293" t="s">
        <v>559</v>
      </c>
      <c r="B293" s="1">
        <v>45799</v>
      </c>
      <c r="C293" t="s">
        <v>129</v>
      </c>
      <c r="D293" t="s">
        <v>130</v>
      </c>
      <c r="E293" t="s">
        <v>44</v>
      </c>
      <c r="F293" t="s">
        <v>127</v>
      </c>
      <c r="G293">
        <v>5</v>
      </c>
      <c r="H293">
        <v>347.77</v>
      </c>
      <c r="I293">
        <v>1564.96</v>
      </c>
      <c r="J293">
        <v>0.1</v>
      </c>
      <c r="K293">
        <v>459.93</v>
      </c>
      <c r="L293" s="14">
        <f>sales_data[[#This Row],[Profit]]/sales_data[[#This Row],[Sales]]</f>
        <v>0.29389249565484099</v>
      </c>
      <c r="M293" t="s">
        <v>35</v>
      </c>
      <c r="N293" t="s">
        <v>36</v>
      </c>
    </row>
    <row r="294" spans="1:14" x14ac:dyDescent="0.25">
      <c r="A294" t="s">
        <v>560</v>
      </c>
      <c r="B294" s="1">
        <v>46010</v>
      </c>
      <c r="C294" t="s">
        <v>561</v>
      </c>
      <c r="D294" t="s">
        <v>562</v>
      </c>
      <c r="E294" t="s">
        <v>16</v>
      </c>
      <c r="F294" t="s">
        <v>34</v>
      </c>
      <c r="G294">
        <v>7</v>
      </c>
      <c r="H294">
        <v>968.04</v>
      </c>
      <c r="I294">
        <v>6098.65</v>
      </c>
      <c r="J294">
        <v>0.1</v>
      </c>
      <c r="K294">
        <v>1186.92</v>
      </c>
      <c r="L294" s="14">
        <f>sales_data[[#This Row],[Profit]]/sales_data[[#This Row],[Sales]]</f>
        <v>0.19462012084641686</v>
      </c>
      <c r="M294" t="s">
        <v>18</v>
      </c>
      <c r="N294" t="s">
        <v>36</v>
      </c>
    </row>
    <row r="295" spans="1:14" x14ac:dyDescent="0.25">
      <c r="A295" t="s">
        <v>563</v>
      </c>
      <c r="B295" s="1">
        <v>45962</v>
      </c>
      <c r="C295" t="s">
        <v>386</v>
      </c>
      <c r="D295" t="s">
        <v>387</v>
      </c>
      <c r="E295" t="s">
        <v>44</v>
      </c>
      <c r="F295" t="s">
        <v>51</v>
      </c>
      <c r="G295">
        <v>1</v>
      </c>
      <c r="H295">
        <v>106.27</v>
      </c>
      <c r="I295">
        <v>100.96</v>
      </c>
      <c r="J295">
        <v>0.05</v>
      </c>
      <c r="K295">
        <v>29.76</v>
      </c>
      <c r="L295" s="14">
        <f>sales_data[[#This Row],[Profit]]/sales_data[[#This Row],[Sales]]</f>
        <v>0.29477020602218706</v>
      </c>
      <c r="M295" t="s">
        <v>35</v>
      </c>
      <c r="N295" t="s">
        <v>19</v>
      </c>
    </row>
    <row r="296" spans="1:14" x14ac:dyDescent="0.25">
      <c r="A296" t="s">
        <v>564</v>
      </c>
      <c r="B296" s="1">
        <v>45990</v>
      </c>
      <c r="C296" t="s">
        <v>554</v>
      </c>
      <c r="D296" t="s">
        <v>555</v>
      </c>
      <c r="E296" t="s">
        <v>23</v>
      </c>
      <c r="F296" t="s">
        <v>24</v>
      </c>
      <c r="G296">
        <v>5</v>
      </c>
      <c r="H296">
        <v>33.380000000000003</v>
      </c>
      <c r="I296">
        <v>158.56</v>
      </c>
      <c r="J296">
        <v>0.05</v>
      </c>
      <c r="K296">
        <v>67.81</v>
      </c>
      <c r="L296" s="14">
        <f>sales_data[[#This Row],[Profit]]/sales_data[[#This Row],[Sales]]</f>
        <v>0.42766145307769932</v>
      </c>
      <c r="M296" t="s">
        <v>25</v>
      </c>
      <c r="N296" t="s">
        <v>19</v>
      </c>
    </row>
    <row r="297" spans="1:14" x14ac:dyDescent="0.25">
      <c r="A297" t="s">
        <v>565</v>
      </c>
      <c r="B297" s="1">
        <v>45897</v>
      </c>
      <c r="C297" t="s">
        <v>119</v>
      </c>
      <c r="D297" t="s">
        <v>120</v>
      </c>
      <c r="E297" t="s">
        <v>23</v>
      </c>
      <c r="F297" t="s">
        <v>281</v>
      </c>
      <c r="G297">
        <v>5</v>
      </c>
      <c r="H297">
        <v>58.32</v>
      </c>
      <c r="I297">
        <v>233.28</v>
      </c>
      <c r="J297">
        <v>0.2</v>
      </c>
      <c r="K297">
        <v>97.59</v>
      </c>
      <c r="L297" s="14">
        <f>sales_data[[#This Row],[Profit]]/sales_data[[#This Row],[Sales]]</f>
        <v>0.41833847736625518</v>
      </c>
      <c r="M297" t="s">
        <v>35</v>
      </c>
      <c r="N297" t="s">
        <v>58</v>
      </c>
    </row>
    <row r="298" spans="1:14" x14ac:dyDescent="0.25">
      <c r="A298" t="s">
        <v>566</v>
      </c>
      <c r="B298" s="1">
        <v>45872</v>
      </c>
      <c r="C298" t="s">
        <v>459</v>
      </c>
      <c r="D298" t="s">
        <v>460</v>
      </c>
      <c r="E298" t="s">
        <v>16</v>
      </c>
      <c r="F298" t="s">
        <v>17</v>
      </c>
      <c r="G298">
        <v>7</v>
      </c>
      <c r="H298">
        <v>1049.1300000000001</v>
      </c>
      <c r="I298">
        <v>7343.91</v>
      </c>
      <c r="J298">
        <v>0</v>
      </c>
      <c r="K298">
        <v>1395.65</v>
      </c>
      <c r="L298" s="14">
        <f>sales_data[[#This Row],[Profit]]/sales_data[[#This Row],[Sales]]</f>
        <v>0.19004181696126451</v>
      </c>
      <c r="M298" t="s">
        <v>35</v>
      </c>
      <c r="N298" t="s">
        <v>30</v>
      </c>
    </row>
    <row r="299" spans="1:14" x14ac:dyDescent="0.25">
      <c r="A299" t="s">
        <v>567</v>
      </c>
      <c r="B299" s="1">
        <v>45896</v>
      </c>
      <c r="C299" t="s">
        <v>402</v>
      </c>
      <c r="D299" t="s">
        <v>403</v>
      </c>
      <c r="E299" t="s">
        <v>16</v>
      </c>
      <c r="F299" t="s">
        <v>34</v>
      </c>
      <c r="G299">
        <v>4</v>
      </c>
      <c r="H299">
        <v>1082.8800000000001</v>
      </c>
      <c r="I299">
        <v>4114.9399999999996</v>
      </c>
      <c r="J299">
        <v>0.05</v>
      </c>
      <c r="K299">
        <v>824.5</v>
      </c>
      <c r="L299" s="14">
        <f>sales_data[[#This Row],[Profit]]/sales_data[[#This Row],[Sales]]</f>
        <v>0.20036744156658423</v>
      </c>
      <c r="M299" t="s">
        <v>35</v>
      </c>
      <c r="N299" t="s">
        <v>47</v>
      </c>
    </row>
    <row r="300" spans="1:14" x14ac:dyDescent="0.25">
      <c r="A300" t="s">
        <v>568</v>
      </c>
      <c r="B300" s="1">
        <v>45859</v>
      </c>
      <c r="C300" t="s">
        <v>455</v>
      </c>
      <c r="D300" t="s">
        <v>456</v>
      </c>
      <c r="E300" t="s">
        <v>23</v>
      </c>
      <c r="F300" t="s">
        <v>117</v>
      </c>
      <c r="G300">
        <v>3</v>
      </c>
      <c r="H300">
        <v>48.71</v>
      </c>
      <c r="I300">
        <v>146.13</v>
      </c>
      <c r="J300">
        <v>0</v>
      </c>
      <c r="K300">
        <v>61.51</v>
      </c>
      <c r="L300" s="14">
        <f>sales_data[[#This Row],[Profit]]/sales_data[[#This Row],[Sales]]</f>
        <v>0.42092657223020596</v>
      </c>
      <c r="M300" t="s">
        <v>46</v>
      </c>
      <c r="N300" t="s">
        <v>36</v>
      </c>
    </row>
    <row r="301" spans="1:14" x14ac:dyDescent="0.25">
      <c r="A301" t="s">
        <v>569</v>
      </c>
      <c r="B301" s="1">
        <v>45916</v>
      </c>
      <c r="C301" t="s">
        <v>338</v>
      </c>
      <c r="D301" t="s">
        <v>339</v>
      </c>
      <c r="E301" t="s">
        <v>23</v>
      </c>
      <c r="F301" t="s">
        <v>281</v>
      </c>
      <c r="G301">
        <v>6</v>
      </c>
      <c r="H301">
        <v>12.28</v>
      </c>
      <c r="I301">
        <v>62.63</v>
      </c>
      <c r="J301">
        <v>0.15</v>
      </c>
      <c r="K301">
        <v>27.43</v>
      </c>
      <c r="L301" s="14">
        <f>sales_data[[#This Row],[Profit]]/sales_data[[#This Row],[Sales]]</f>
        <v>0.43796902442918728</v>
      </c>
      <c r="M301" t="s">
        <v>25</v>
      </c>
      <c r="N301" t="s">
        <v>47</v>
      </c>
    </row>
    <row r="302" spans="1:14" x14ac:dyDescent="0.25">
      <c r="A302" t="s">
        <v>570</v>
      </c>
      <c r="B302" s="1">
        <v>45892</v>
      </c>
      <c r="C302" t="s">
        <v>571</v>
      </c>
      <c r="D302" t="s">
        <v>572</v>
      </c>
      <c r="E302" t="s">
        <v>16</v>
      </c>
      <c r="F302" t="s">
        <v>40</v>
      </c>
      <c r="G302">
        <v>7</v>
      </c>
      <c r="H302">
        <v>703.21</v>
      </c>
      <c r="I302">
        <v>4922.47</v>
      </c>
      <c r="J302">
        <v>0</v>
      </c>
      <c r="K302">
        <v>1015.55</v>
      </c>
      <c r="L302" s="14">
        <f>sales_data[[#This Row],[Profit]]/sales_data[[#This Row],[Sales]]</f>
        <v>0.20630902778483157</v>
      </c>
      <c r="M302" t="s">
        <v>35</v>
      </c>
      <c r="N302" t="s">
        <v>36</v>
      </c>
    </row>
    <row r="303" spans="1:14" x14ac:dyDescent="0.25">
      <c r="A303" t="s">
        <v>573</v>
      </c>
      <c r="B303" s="1">
        <v>45951</v>
      </c>
      <c r="C303" t="s">
        <v>402</v>
      </c>
      <c r="D303" t="s">
        <v>403</v>
      </c>
      <c r="E303" t="s">
        <v>23</v>
      </c>
      <c r="F303" t="s">
        <v>117</v>
      </c>
      <c r="G303">
        <v>5</v>
      </c>
      <c r="H303">
        <v>56.32</v>
      </c>
      <c r="I303">
        <v>267.52</v>
      </c>
      <c r="J303">
        <v>0.05</v>
      </c>
      <c r="K303">
        <v>112.31</v>
      </c>
      <c r="L303" s="14">
        <f>sales_data[[#This Row],[Profit]]/sales_data[[#This Row],[Sales]]</f>
        <v>0.41981907894736847</v>
      </c>
      <c r="M303" t="s">
        <v>18</v>
      </c>
      <c r="N303" t="s">
        <v>36</v>
      </c>
    </row>
    <row r="304" spans="1:14" x14ac:dyDescent="0.25">
      <c r="A304" t="s">
        <v>574</v>
      </c>
      <c r="B304" s="1">
        <v>45687</v>
      </c>
      <c r="C304" t="s">
        <v>38</v>
      </c>
      <c r="D304" t="s">
        <v>39</v>
      </c>
      <c r="E304" t="s">
        <v>16</v>
      </c>
      <c r="F304" t="s">
        <v>89</v>
      </c>
      <c r="G304">
        <v>4</v>
      </c>
      <c r="H304">
        <v>963.1</v>
      </c>
      <c r="I304">
        <v>3274.54</v>
      </c>
      <c r="J304">
        <v>0.15</v>
      </c>
      <c r="K304">
        <v>603.41</v>
      </c>
      <c r="L304" s="14">
        <f>sales_data[[#This Row],[Profit]]/sales_data[[#This Row],[Sales]]</f>
        <v>0.18427321089374385</v>
      </c>
      <c r="M304" t="s">
        <v>18</v>
      </c>
      <c r="N304" t="s">
        <v>36</v>
      </c>
    </row>
    <row r="305" spans="1:14" x14ac:dyDescent="0.25">
      <c r="A305" t="s">
        <v>575</v>
      </c>
      <c r="B305" s="1">
        <v>45705</v>
      </c>
      <c r="C305" t="s">
        <v>452</v>
      </c>
      <c r="D305" t="s">
        <v>453</v>
      </c>
      <c r="E305" t="s">
        <v>44</v>
      </c>
      <c r="F305" t="s">
        <v>127</v>
      </c>
      <c r="G305">
        <v>2</v>
      </c>
      <c r="H305">
        <v>277.94</v>
      </c>
      <c r="I305">
        <v>555.88</v>
      </c>
      <c r="J305">
        <v>0</v>
      </c>
      <c r="K305">
        <v>165.77</v>
      </c>
      <c r="L305" s="14">
        <f>sales_data[[#This Row],[Profit]]/sales_data[[#This Row],[Sales]]</f>
        <v>0.29821184428293879</v>
      </c>
      <c r="M305" t="s">
        <v>25</v>
      </c>
      <c r="N305" t="s">
        <v>47</v>
      </c>
    </row>
    <row r="306" spans="1:14" x14ac:dyDescent="0.25">
      <c r="A306" t="s">
        <v>576</v>
      </c>
      <c r="B306" s="1">
        <v>45664</v>
      </c>
      <c r="C306" t="s">
        <v>273</v>
      </c>
      <c r="D306" t="s">
        <v>274</v>
      </c>
      <c r="E306" t="s">
        <v>16</v>
      </c>
      <c r="F306" t="s">
        <v>17</v>
      </c>
      <c r="G306">
        <v>5</v>
      </c>
      <c r="H306">
        <v>1070.8599999999999</v>
      </c>
      <c r="I306">
        <v>5086.58</v>
      </c>
      <c r="J306">
        <v>0.05</v>
      </c>
      <c r="K306">
        <v>1044.6099999999999</v>
      </c>
      <c r="L306" s="14">
        <f>sales_data[[#This Row],[Profit]]/sales_data[[#This Row],[Sales]]</f>
        <v>0.20536588434665334</v>
      </c>
      <c r="M306" t="s">
        <v>35</v>
      </c>
      <c r="N306" t="s">
        <v>47</v>
      </c>
    </row>
    <row r="307" spans="1:14" x14ac:dyDescent="0.25">
      <c r="A307" t="s">
        <v>577</v>
      </c>
      <c r="B307" s="1">
        <v>45783</v>
      </c>
      <c r="C307" t="s">
        <v>550</v>
      </c>
      <c r="D307" t="s">
        <v>551</v>
      </c>
      <c r="E307" t="s">
        <v>23</v>
      </c>
      <c r="F307" t="s">
        <v>281</v>
      </c>
      <c r="G307">
        <v>1</v>
      </c>
      <c r="H307">
        <v>10.8</v>
      </c>
      <c r="I307">
        <v>9.18</v>
      </c>
      <c r="J307">
        <v>0.15</v>
      </c>
      <c r="K307">
        <v>3.89</v>
      </c>
      <c r="L307" s="14">
        <f>sales_data[[#This Row],[Profit]]/sales_data[[#This Row],[Sales]]</f>
        <v>0.42374727668845319</v>
      </c>
      <c r="M307" t="s">
        <v>25</v>
      </c>
      <c r="N307" t="s">
        <v>30</v>
      </c>
    </row>
    <row r="308" spans="1:14" x14ac:dyDescent="0.25">
      <c r="A308" t="s">
        <v>578</v>
      </c>
      <c r="B308" s="1">
        <v>45688</v>
      </c>
      <c r="C308" t="s">
        <v>299</v>
      </c>
      <c r="D308" t="s">
        <v>300</v>
      </c>
      <c r="E308" t="s">
        <v>23</v>
      </c>
      <c r="F308" t="s">
        <v>117</v>
      </c>
      <c r="G308">
        <v>1</v>
      </c>
      <c r="H308">
        <v>13.82</v>
      </c>
      <c r="I308">
        <v>13.13</v>
      </c>
      <c r="J308">
        <v>0.05</v>
      </c>
      <c r="K308">
        <v>5.77</v>
      </c>
      <c r="L308" s="14">
        <f>sales_data[[#This Row],[Profit]]/sales_data[[#This Row],[Sales]]</f>
        <v>0.43945163747143939</v>
      </c>
      <c r="M308" t="s">
        <v>18</v>
      </c>
      <c r="N308" t="s">
        <v>58</v>
      </c>
    </row>
    <row r="309" spans="1:14" x14ac:dyDescent="0.25">
      <c r="A309" t="s">
        <v>579</v>
      </c>
      <c r="B309" s="1">
        <v>45811</v>
      </c>
      <c r="C309" t="s">
        <v>136</v>
      </c>
      <c r="D309" t="s">
        <v>137</v>
      </c>
      <c r="E309" t="s">
        <v>78</v>
      </c>
      <c r="F309" t="s">
        <v>79</v>
      </c>
      <c r="G309">
        <v>6</v>
      </c>
      <c r="H309">
        <v>13.32</v>
      </c>
      <c r="I309">
        <v>75.92</v>
      </c>
      <c r="J309">
        <v>0.05</v>
      </c>
      <c r="K309">
        <v>29.24</v>
      </c>
      <c r="L309" s="14">
        <f>sales_data[[#This Row],[Profit]]/sales_data[[#This Row],[Sales]]</f>
        <v>0.38514225500526866</v>
      </c>
      <c r="M309" t="s">
        <v>46</v>
      </c>
      <c r="N309" t="s">
        <v>58</v>
      </c>
    </row>
    <row r="310" spans="1:14" x14ac:dyDescent="0.25">
      <c r="A310" t="s">
        <v>580</v>
      </c>
      <c r="B310" s="1">
        <v>45687</v>
      </c>
      <c r="C310" t="s">
        <v>192</v>
      </c>
      <c r="D310" t="s">
        <v>193</v>
      </c>
      <c r="E310" t="s">
        <v>16</v>
      </c>
      <c r="F310" t="s">
        <v>17</v>
      </c>
      <c r="G310">
        <v>5</v>
      </c>
      <c r="H310">
        <v>1006.69</v>
      </c>
      <c r="I310">
        <v>4781.78</v>
      </c>
      <c r="J310">
        <v>0.05</v>
      </c>
      <c r="K310">
        <v>950.41</v>
      </c>
      <c r="L310" s="14">
        <f>sales_data[[#This Row],[Profit]]/sales_data[[#This Row],[Sales]]</f>
        <v>0.19875652999510643</v>
      </c>
      <c r="M310" t="s">
        <v>18</v>
      </c>
      <c r="N310" t="s">
        <v>30</v>
      </c>
    </row>
    <row r="311" spans="1:14" x14ac:dyDescent="0.25">
      <c r="A311" t="s">
        <v>581</v>
      </c>
      <c r="B311" s="1">
        <v>45942</v>
      </c>
      <c r="C311" t="s">
        <v>208</v>
      </c>
      <c r="D311" t="s">
        <v>209</v>
      </c>
      <c r="E311" t="s">
        <v>78</v>
      </c>
      <c r="F311" t="s">
        <v>255</v>
      </c>
      <c r="G311">
        <v>3</v>
      </c>
      <c r="H311">
        <v>173.32</v>
      </c>
      <c r="I311">
        <v>493.96</v>
      </c>
      <c r="J311">
        <v>0.05</v>
      </c>
      <c r="K311">
        <v>186.93</v>
      </c>
      <c r="L311" s="14">
        <f>sales_data[[#This Row],[Profit]]/sales_data[[#This Row],[Sales]]</f>
        <v>0.37843145193942834</v>
      </c>
      <c r="M311" t="s">
        <v>25</v>
      </c>
      <c r="N311" t="s">
        <v>30</v>
      </c>
    </row>
    <row r="312" spans="1:14" x14ac:dyDescent="0.25">
      <c r="A312" t="s">
        <v>582</v>
      </c>
      <c r="B312" s="1">
        <v>45962</v>
      </c>
      <c r="C312" t="s">
        <v>180</v>
      </c>
      <c r="D312" t="s">
        <v>181</v>
      </c>
      <c r="E312" t="s">
        <v>78</v>
      </c>
      <c r="F312" t="s">
        <v>255</v>
      </c>
      <c r="G312">
        <v>2</v>
      </c>
      <c r="H312">
        <v>36.950000000000003</v>
      </c>
      <c r="I312">
        <v>73.900000000000006</v>
      </c>
      <c r="J312">
        <v>0</v>
      </c>
      <c r="K312">
        <v>26.96</v>
      </c>
      <c r="L312" s="14">
        <f>sales_data[[#This Row],[Profit]]/sales_data[[#This Row],[Sales]]</f>
        <v>0.36481732070365358</v>
      </c>
      <c r="M312" t="s">
        <v>18</v>
      </c>
      <c r="N312" t="s">
        <v>47</v>
      </c>
    </row>
    <row r="313" spans="1:14" x14ac:dyDescent="0.25">
      <c r="A313" t="s">
        <v>583</v>
      </c>
      <c r="B313" s="1">
        <v>45708</v>
      </c>
      <c r="C313" t="s">
        <v>177</v>
      </c>
      <c r="D313" t="s">
        <v>178</v>
      </c>
      <c r="E313" t="s">
        <v>78</v>
      </c>
      <c r="F313" t="s">
        <v>194</v>
      </c>
      <c r="G313">
        <v>5</v>
      </c>
      <c r="H313">
        <v>66.900000000000006</v>
      </c>
      <c r="I313">
        <v>334.5</v>
      </c>
      <c r="J313">
        <v>0</v>
      </c>
      <c r="K313">
        <v>120.76</v>
      </c>
      <c r="L313" s="14">
        <f>sales_data[[#This Row],[Profit]]/sales_data[[#This Row],[Sales]]</f>
        <v>0.36101644245142006</v>
      </c>
      <c r="M313" t="s">
        <v>18</v>
      </c>
      <c r="N313" t="s">
        <v>30</v>
      </c>
    </row>
    <row r="314" spans="1:14" x14ac:dyDescent="0.25">
      <c r="A314" t="s">
        <v>584</v>
      </c>
      <c r="B314" s="1">
        <v>45937</v>
      </c>
      <c r="C314" t="s">
        <v>347</v>
      </c>
      <c r="D314" t="s">
        <v>348</v>
      </c>
      <c r="E314" t="s">
        <v>16</v>
      </c>
      <c r="F314" t="s">
        <v>40</v>
      </c>
      <c r="G314">
        <v>5</v>
      </c>
      <c r="H314">
        <v>760.83</v>
      </c>
      <c r="I314">
        <v>3613.94</v>
      </c>
      <c r="J314">
        <v>0.05</v>
      </c>
      <c r="K314">
        <v>715.37</v>
      </c>
      <c r="L314" s="14">
        <f>sales_data[[#This Row],[Profit]]/sales_data[[#This Row],[Sales]]</f>
        <v>0.19794739259644598</v>
      </c>
      <c r="M314" t="s">
        <v>35</v>
      </c>
      <c r="N314" t="s">
        <v>58</v>
      </c>
    </row>
    <row r="315" spans="1:14" x14ac:dyDescent="0.25">
      <c r="A315" t="s">
        <v>585</v>
      </c>
      <c r="B315" s="1">
        <v>45809</v>
      </c>
      <c r="C315" t="s">
        <v>307</v>
      </c>
      <c r="D315" t="s">
        <v>308</v>
      </c>
      <c r="E315" t="s">
        <v>78</v>
      </c>
      <c r="F315" t="s">
        <v>255</v>
      </c>
      <c r="G315">
        <v>5</v>
      </c>
      <c r="H315">
        <v>133.69999999999999</v>
      </c>
      <c r="I315">
        <v>668.5</v>
      </c>
      <c r="J315">
        <v>0</v>
      </c>
      <c r="K315">
        <v>243.62</v>
      </c>
      <c r="L315" s="14">
        <f>sales_data[[#This Row],[Profit]]/sales_data[[#This Row],[Sales]]</f>
        <v>0.36442782348541514</v>
      </c>
      <c r="M315" t="s">
        <v>35</v>
      </c>
      <c r="N315" t="s">
        <v>30</v>
      </c>
    </row>
    <row r="316" spans="1:14" x14ac:dyDescent="0.25">
      <c r="A316" t="s">
        <v>586</v>
      </c>
      <c r="B316" s="1">
        <v>45774</v>
      </c>
      <c r="C316" t="s">
        <v>125</v>
      </c>
      <c r="D316" t="s">
        <v>126</v>
      </c>
      <c r="E316" t="s">
        <v>78</v>
      </c>
      <c r="F316" t="s">
        <v>106</v>
      </c>
      <c r="G316">
        <v>3</v>
      </c>
      <c r="H316">
        <v>68.8</v>
      </c>
      <c r="I316">
        <v>196.08</v>
      </c>
      <c r="J316">
        <v>0.05</v>
      </c>
      <c r="K316">
        <v>76.25</v>
      </c>
      <c r="L316" s="14">
        <f>sales_data[[#This Row],[Profit]]/sales_data[[#This Row],[Sales]]</f>
        <v>0.38887188902488778</v>
      </c>
      <c r="M316" t="s">
        <v>46</v>
      </c>
      <c r="N316" t="s">
        <v>58</v>
      </c>
    </row>
    <row r="317" spans="1:14" x14ac:dyDescent="0.25">
      <c r="A317" t="s">
        <v>587</v>
      </c>
      <c r="B317" s="1">
        <v>45841</v>
      </c>
      <c r="C317" t="s">
        <v>394</v>
      </c>
      <c r="D317" t="s">
        <v>395</v>
      </c>
      <c r="E317" t="s">
        <v>44</v>
      </c>
      <c r="F317" t="s">
        <v>51</v>
      </c>
      <c r="G317">
        <v>1</v>
      </c>
      <c r="H317">
        <v>617.65</v>
      </c>
      <c r="I317">
        <v>525</v>
      </c>
      <c r="J317">
        <v>0.15</v>
      </c>
      <c r="K317">
        <v>160.41</v>
      </c>
      <c r="L317" s="14">
        <f>sales_data[[#This Row],[Profit]]/sales_data[[#This Row],[Sales]]</f>
        <v>0.30554285714285712</v>
      </c>
      <c r="M317" t="s">
        <v>18</v>
      </c>
      <c r="N317" t="s">
        <v>47</v>
      </c>
    </row>
    <row r="318" spans="1:14" x14ac:dyDescent="0.25">
      <c r="A318" t="s">
        <v>588</v>
      </c>
      <c r="B318" s="1">
        <v>45965</v>
      </c>
      <c r="C318" t="s">
        <v>69</v>
      </c>
      <c r="D318" t="s">
        <v>70</v>
      </c>
      <c r="E318" t="s">
        <v>78</v>
      </c>
      <c r="F318" t="s">
        <v>79</v>
      </c>
      <c r="G318">
        <v>6</v>
      </c>
      <c r="H318">
        <v>109.26</v>
      </c>
      <c r="I318">
        <v>622.78</v>
      </c>
      <c r="J318">
        <v>0.05</v>
      </c>
      <c r="K318">
        <v>237.54</v>
      </c>
      <c r="L318" s="14">
        <f>sales_data[[#This Row],[Profit]]/sales_data[[#This Row],[Sales]]</f>
        <v>0.38141879957609431</v>
      </c>
      <c r="M318" t="s">
        <v>35</v>
      </c>
      <c r="N318" t="s">
        <v>58</v>
      </c>
    </row>
    <row r="319" spans="1:14" x14ac:dyDescent="0.25">
      <c r="A319" t="s">
        <v>589</v>
      </c>
      <c r="B319" s="1">
        <v>45899</v>
      </c>
      <c r="C319" t="s">
        <v>312</v>
      </c>
      <c r="D319" t="s">
        <v>313</v>
      </c>
      <c r="E319" t="s">
        <v>44</v>
      </c>
      <c r="F319" t="s">
        <v>110</v>
      </c>
      <c r="G319">
        <v>3</v>
      </c>
      <c r="H319">
        <v>629.28</v>
      </c>
      <c r="I319">
        <v>1793.45</v>
      </c>
      <c r="J319">
        <v>0.05</v>
      </c>
      <c r="K319">
        <v>532.11</v>
      </c>
      <c r="L319" s="14">
        <f>sales_data[[#This Row],[Profit]]/sales_data[[#This Row],[Sales]]</f>
        <v>0.29669631157824305</v>
      </c>
      <c r="M319" t="s">
        <v>18</v>
      </c>
      <c r="N319" t="s">
        <v>30</v>
      </c>
    </row>
    <row r="320" spans="1:14" x14ac:dyDescent="0.25">
      <c r="A320" t="s">
        <v>590</v>
      </c>
      <c r="B320" s="1">
        <v>45705</v>
      </c>
      <c r="C320" t="s">
        <v>462</v>
      </c>
      <c r="D320" t="s">
        <v>463</v>
      </c>
      <c r="E320" t="s">
        <v>78</v>
      </c>
      <c r="F320" t="s">
        <v>106</v>
      </c>
      <c r="G320">
        <v>4</v>
      </c>
      <c r="H320">
        <v>8.5399999999999991</v>
      </c>
      <c r="I320">
        <v>30.74</v>
      </c>
      <c r="J320">
        <v>0.1</v>
      </c>
      <c r="K320">
        <v>11.71</v>
      </c>
      <c r="L320" s="14">
        <f>sales_data[[#This Row],[Profit]]/sales_data[[#This Row],[Sales]]</f>
        <v>0.38093689004554332</v>
      </c>
      <c r="M320" t="s">
        <v>25</v>
      </c>
      <c r="N320" t="s">
        <v>58</v>
      </c>
    </row>
    <row r="321" spans="1:14" x14ac:dyDescent="0.25">
      <c r="A321" t="s">
        <v>591</v>
      </c>
      <c r="B321" s="1">
        <v>45982</v>
      </c>
      <c r="C321" t="s">
        <v>180</v>
      </c>
      <c r="D321" t="s">
        <v>181</v>
      </c>
      <c r="E321" t="s">
        <v>16</v>
      </c>
      <c r="F321" t="s">
        <v>34</v>
      </c>
      <c r="G321">
        <v>7</v>
      </c>
      <c r="H321">
        <v>761.25</v>
      </c>
      <c r="I321">
        <v>4529.4399999999996</v>
      </c>
      <c r="J321">
        <v>0.15</v>
      </c>
      <c r="K321">
        <v>948.58</v>
      </c>
      <c r="L321" s="14">
        <f>sales_data[[#This Row],[Profit]]/sales_data[[#This Row],[Sales]]</f>
        <v>0.20942544773746868</v>
      </c>
      <c r="M321" t="s">
        <v>25</v>
      </c>
      <c r="N321" t="s">
        <v>19</v>
      </c>
    </row>
    <row r="322" spans="1:14" x14ac:dyDescent="0.25">
      <c r="A322" t="s">
        <v>592</v>
      </c>
      <c r="B322" s="1">
        <v>45711</v>
      </c>
      <c r="C322" t="s">
        <v>161</v>
      </c>
      <c r="D322" t="s">
        <v>162</v>
      </c>
      <c r="E322" t="s">
        <v>16</v>
      </c>
      <c r="F322" t="s">
        <v>34</v>
      </c>
      <c r="G322">
        <v>2</v>
      </c>
      <c r="H322">
        <v>768.24</v>
      </c>
      <c r="I322">
        <v>1382.83</v>
      </c>
      <c r="J322">
        <v>0.1</v>
      </c>
      <c r="K322">
        <v>256.39</v>
      </c>
      <c r="L322" s="14">
        <f>sales_data[[#This Row],[Profit]]/sales_data[[#This Row],[Sales]]</f>
        <v>0.18540963097416169</v>
      </c>
      <c r="M322" t="s">
        <v>35</v>
      </c>
      <c r="N322" t="s">
        <v>58</v>
      </c>
    </row>
    <row r="323" spans="1:14" x14ac:dyDescent="0.25">
      <c r="A323" t="s">
        <v>593</v>
      </c>
      <c r="B323" s="1">
        <v>45879</v>
      </c>
      <c r="C323" t="s">
        <v>42</v>
      </c>
      <c r="D323" t="s">
        <v>43</v>
      </c>
      <c r="E323" t="s">
        <v>16</v>
      </c>
      <c r="F323" t="s">
        <v>71</v>
      </c>
      <c r="G323">
        <v>3</v>
      </c>
      <c r="H323">
        <v>1197.44</v>
      </c>
      <c r="I323">
        <v>3233.09</v>
      </c>
      <c r="J323">
        <v>0.1</v>
      </c>
      <c r="K323">
        <v>598.59</v>
      </c>
      <c r="L323" s="14">
        <f>sales_data[[#This Row],[Profit]]/sales_data[[#This Row],[Sales]]</f>
        <v>0.18514486141740563</v>
      </c>
      <c r="M323" t="s">
        <v>18</v>
      </c>
      <c r="N323" t="s">
        <v>58</v>
      </c>
    </row>
    <row r="324" spans="1:14" x14ac:dyDescent="0.25">
      <c r="A324" t="s">
        <v>594</v>
      </c>
      <c r="B324" s="1">
        <v>45694</v>
      </c>
      <c r="C324" t="s">
        <v>108</v>
      </c>
      <c r="D324" t="s">
        <v>109</v>
      </c>
      <c r="E324" t="s">
        <v>23</v>
      </c>
      <c r="F324" t="s">
        <v>117</v>
      </c>
      <c r="G324">
        <v>7</v>
      </c>
      <c r="H324">
        <v>14</v>
      </c>
      <c r="I324">
        <v>88.2</v>
      </c>
      <c r="J324">
        <v>0.1</v>
      </c>
      <c r="K324">
        <v>36.770000000000003</v>
      </c>
      <c r="L324" s="14">
        <f>sales_data[[#This Row],[Profit]]/sales_data[[#This Row],[Sales]]</f>
        <v>0.41689342403628121</v>
      </c>
      <c r="M324" t="s">
        <v>25</v>
      </c>
      <c r="N324" t="s">
        <v>36</v>
      </c>
    </row>
    <row r="325" spans="1:14" x14ac:dyDescent="0.25">
      <c r="A325" t="s">
        <v>595</v>
      </c>
      <c r="B325" s="1">
        <v>45692</v>
      </c>
      <c r="C325" t="s">
        <v>455</v>
      </c>
      <c r="D325" t="s">
        <v>456</v>
      </c>
      <c r="E325" t="s">
        <v>23</v>
      </c>
      <c r="F325" t="s">
        <v>281</v>
      </c>
      <c r="G325">
        <v>7</v>
      </c>
      <c r="H325">
        <v>9.82</v>
      </c>
      <c r="I325">
        <v>65.3</v>
      </c>
      <c r="J325">
        <v>0.05</v>
      </c>
      <c r="K325">
        <v>28.58</v>
      </c>
      <c r="L325" s="14">
        <f>sales_data[[#This Row],[Profit]]/sales_data[[#This Row],[Sales]]</f>
        <v>0.43767228177641654</v>
      </c>
      <c r="M325" t="s">
        <v>25</v>
      </c>
      <c r="N325" t="s">
        <v>30</v>
      </c>
    </row>
    <row r="326" spans="1:14" x14ac:dyDescent="0.25">
      <c r="A326" t="s">
        <v>596</v>
      </c>
      <c r="B326" s="1">
        <v>46012</v>
      </c>
      <c r="C326" t="s">
        <v>303</v>
      </c>
      <c r="D326" t="s">
        <v>304</v>
      </c>
      <c r="E326" t="s">
        <v>44</v>
      </c>
      <c r="F326" t="s">
        <v>127</v>
      </c>
      <c r="G326">
        <v>3</v>
      </c>
      <c r="H326">
        <v>453.5</v>
      </c>
      <c r="I326">
        <v>1224.45</v>
      </c>
      <c r="J326">
        <v>0.1</v>
      </c>
      <c r="K326">
        <v>353.95</v>
      </c>
      <c r="L326" s="14">
        <f>sales_data[[#This Row],[Profit]]/sales_data[[#This Row],[Sales]]</f>
        <v>0.28906856139491199</v>
      </c>
      <c r="M326" t="s">
        <v>35</v>
      </c>
      <c r="N326" t="s">
        <v>19</v>
      </c>
    </row>
    <row r="327" spans="1:14" x14ac:dyDescent="0.25">
      <c r="A327" t="s">
        <v>597</v>
      </c>
      <c r="B327" s="1">
        <v>45802</v>
      </c>
      <c r="C327" t="s">
        <v>439</v>
      </c>
      <c r="D327" t="s">
        <v>440</v>
      </c>
      <c r="E327" t="s">
        <v>16</v>
      </c>
      <c r="F327" t="s">
        <v>89</v>
      </c>
      <c r="G327">
        <v>2</v>
      </c>
      <c r="H327">
        <v>958.56</v>
      </c>
      <c r="I327">
        <v>1725.41</v>
      </c>
      <c r="J327">
        <v>0.1</v>
      </c>
      <c r="K327">
        <v>359.74</v>
      </c>
      <c r="L327" s="14">
        <f>sales_data[[#This Row],[Profit]]/sales_data[[#This Row],[Sales]]</f>
        <v>0.20849537211445396</v>
      </c>
      <c r="M327" t="s">
        <v>46</v>
      </c>
      <c r="N327" t="s">
        <v>47</v>
      </c>
    </row>
    <row r="328" spans="1:14" x14ac:dyDescent="0.25">
      <c r="A328" t="s">
        <v>598</v>
      </c>
      <c r="B328" s="1">
        <v>45947</v>
      </c>
      <c r="C328" t="s">
        <v>158</v>
      </c>
      <c r="D328" t="s">
        <v>159</v>
      </c>
      <c r="E328" t="s">
        <v>44</v>
      </c>
      <c r="F328" t="s">
        <v>45</v>
      </c>
      <c r="G328">
        <v>3</v>
      </c>
      <c r="H328">
        <v>568.33000000000004</v>
      </c>
      <c r="I328">
        <v>1449.24</v>
      </c>
      <c r="J328">
        <v>0.15</v>
      </c>
      <c r="K328">
        <v>431.65</v>
      </c>
      <c r="L328" s="14">
        <f>sales_data[[#This Row],[Profit]]/sales_data[[#This Row],[Sales]]</f>
        <v>0.29784576743672542</v>
      </c>
      <c r="M328" t="s">
        <v>18</v>
      </c>
      <c r="N328" t="s">
        <v>19</v>
      </c>
    </row>
    <row r="329" spans="1:14" x14ac:dyDescent="0.25">
      <c r="A329" t="s">
        <v>599</v>
      </c>
      <c r="B329" s="1">
        <v>45890</v>
      </c>
      <c r="C329" t="s">
        <v>76</v>
      </c>
      <c r="D329" t="s">
        <v>77</v>
      </c>
      <c r="E329" t="s">
        <v>23</v>
      </c>
      <c r="F329" t="s">
        <v>117</v>
      </c>
      <c r="G329">
        <v>5</v>
      </c>
      <c r="H329">
        <v>5.59</v>
      </c>
      <c r="I329">
        <v>27.95</v>
      </c>
      <c r="J329">
        <v>0</v>
      </c>
      <c r="K329">
        <v>11.95</v>
      </c>
      <c r="L329" s="14">
        <f>sales_data[[#This Row],[Profit]]/sales_data[[#This Row],[Sales]]</f>
        <v>0.42754919499105543</v>
      </c>
      <c r="M329" t="s">
        <v>35</v>
      </c>
      <c r="N329" t="s">
        <v>36</v>
      </c>
    </row>
    <row r="330" spans="1:14" x14ac:dyDescent="0.25">
      <c r="A330" t="s">
        <v>600</v>
      </c>
      <c r="B330" s="1">
        <v>45667</v>
      </c>
      <c r="C330" t="s">
        <v>510</v>
      </c>
      <c r="D330" t="s">
        <v>511</v>
      </c>
      <c r="E330" t="s">
        <v>23</v>
      </c>
      <c r="F330" t="s">
        <v>29</v>
      </c>
      <c r="G330">
        <v>6</v>
      </c>
      <c r="H330">
        <v>8.5299999999999994</v>
      </c>
      <c r="I330">
        <v>46.06</v>
      </c>
      <c r="J330">
        <v>0.1</v>
      </c>
      <c r="K330">
        <v>19.93</v>
      </c>
      <c r="L330" s="14">
        <f>sales_data[[#This Row],[Profit]]/sales_data[[#This Row],[Sales]]</f>
        <v>0.43269648284845852</v>
      </c>
      <c r="M330" t="s">
        <v>25</v>
      </c>
      <c r="N330" t="s">
        <v>30</v>
      </c>
    </row>
    <row r="331" spans="1:14" x14ac:dyDescent="0.25">
      <c r="A331" t="s">
        <v>601</v>
      </c>
      <c r="B331" s="1">
        <v>45862</v>
      </c>
      <c r="C331" t="s">
        <v>323</v>
      </c>
      <c r="D331" t="s">
        <v>324</v>
      </c>
      <c r="E331" t="s">
        <v>16</v>
      </c>
      <c r="F331" t="s">
        <v>40</v>
      </c>
      <c r="G331">
        <v>7</v>
      </c>
      <c r="H331">
        <v>871.77</v>
      </c>
      <c r="I331">
        <v>5797.27</v>
      </c>
      <c r="J331">
        <v>0.05</v>
      </c>
      <c r="K331">
        <v>1189.8399999999999</v>
      </c>
      <c r="L331" s="14">
        <f>sales_data[[#This Row],[Profit]]/sales_data[[#This Row],[Sales]]</f>
        <v>0.20524143260534697</v>
      </c>
      <c r="M331" t="s">
        <v>46</v>
      </c>
      <c r="N331" t="s">
        <v>47</v>
      </c>
    </row>
    <row r="332" spans="1:14" x14ac:dyDescent="0.25">
      <c r="A332" t="s">
        <v>602</v>
      </c>
      <c r="B332" s="1">
        <v>46018</v>
      </c>
      <c r="C332" t="s">
        <v>122</v>
      </c>
      <c r="D332" t="s">
        <v>123</v>
      </c>
      <c r="E332" t="s">
        <v>78</v>
      </c>
      <c r="F332" t="s">
        <v>106</v>
      </c>
      <c r="G332">
        <v>1</v>
      </c>
      <c r="H332">
        <v>62.62</v>
      </c>
      <c r="I332">
        <v>62.62</v>
      </c>
      <c r="J332">
        <v>0</v>
      </c>
      <c r="K332">
        <v>23.46</v>
      </c>
      <c r="L332" s="14">
        <f>sales_data[[#This Row],[Profit]]/sales_data[[#This Row],[Sales]]</f>
        <v>0.37464068987543919</v>
      </c>
      <c r="M332" t="s">
        <v>46</v>
      </c>
      <c r="N332" t="s">
        <v>47</v>
      </c>
    </row>
    <row r="333" spans="1:14" x14ac:dyDescent="0.25">
      <c r="A333" t="s">
        <v>603</v>
      </c>
      <c r="B333" s="1">
        <v>46000</v>
      </c>
      <c r="C333" t="s">
        <v>232</v>
      </c>
      <c r="D333" t="s">
        <v>233</v>
      </c>
      <c r="E333" t="s">
        <v>16</v>
      </c>
      <c r="F333" t="s">
        <v>71</v>
      </c>
      <c r="G333">
        <v>2</v>
      </c>
      <c r="H333">
        <v>573.69000000000005</v>
      </c>
      <c r="I333">
        <v>1090.01</v>
      </c>
      <c r="J333">
        <v>0.05</v>
      </c>
      <c r="K333">
        <v>198.15</v>
      </c>
      <c r="L333" s="14">
        <f>sales_data[[#This Row],[Profit]]/sales_data[[#This Row],[Sales]]</f>
        <v>0.18178732305208209</v>
      </c>
      <c r="M333" t="s">
        <v>25</v>
      </c>
      <c r="N333" t="s">
        <v>19</v>
      </c>
    </row>
    <row r="334" spans="1:14" x14ac:dyDescent="0.25">
      <c r="A334" t="s">
        <v>604</v>
      </c>
      <c r="B334" s="1">
        <v>45722</v>
      </c>
      <c r="C334" t="s">
        <v>14</v>
      </c>
      <c r="D334" t="s">
        <v>15</v>
      </c>
      <c r="E334" t="s">
        <v>78</v>
      </c>
      <c r="F334" t="s">
        <v>255</v>
      </c>
      <c r="G334">
        <v>3</v>
      </c>
      <c r="H334">
        <v>105.18</v>
      </c>
      <c r="I334">
        <v>268.20999999999998</v>
      </c>
      <c r="J334">
        <v>0.15</v>
      </c>
      <c r="K334">
        <v>100</v>
      </c>
      <c r="L334" s="14">
        <f>sales_data[[#This Row],[Profit]]/sales_data[[#This Row],[Sales]]</f>
        <v>0.37284217590693863</v>
      </c>
      <c r="M334" t="s">
        <v>46</v>
      </c>
      <c r="N334" t="s">
        <v>58</v>
      </c>
    </row>
    <row r="335" spans="1:14" x14ac:dyDescent="0.25">
      <c r="A335" t="s">
        <v>605</v>
      </c>
      <c r="B335" s="1">
        <v>45855</v>
      </c>
      <c r="C335" t="s">
        <v>279</v>
      </c>
      <c r="D335" t="s">
        <v>280</v>
      </c>
      <c r="E335" t="s">
        <v>44</v>
      </c>
      <c r="F335" t="s">
        <v>110</v>
      </c>
      <c r="G335">
        <v>4</v>
      </c>
      <c r="H335">
        <v>482.34</v>
      </c>
      <c r="I335">
        <v>1929.36</v>
      </c>
      <c r="J335">
        <v>0</v>
      </c>
      <c r="K335">
        <v>595.65</v>
      </c>
      <c r="L335" s="14">
        <f>sales_data[[#This Row],[Profit]]/sales_data[[#This Row],[Sales]]</f>
        <v>0.30872931956711036</v>
      </c>
      <c r="M335" t="s">
        <v>35</v>
      </c>
      <c r="N335" t="s">
        <v>36</v>
      </c>
    </row>
    <row r="336" spans="1:14" x14ac:dyDescent="0.25">
      <c r="A336" t="s">
        <v>606</v>
      </c>
      <c r="B336" s="1">
        <v>45777</v>
      </c>
      <c r="C336" t="s">
        <v>32</v>
      </c>
      <c r="D336" t="s">
        <v>33</v>
      </c>
      <c r="E336" t="s">
        <v>78</v>
      </c>
      <c r="F336" t="s">
        <v>255</v>
      </c>
      <c r="G336">
        <v>2</v>
      </c>
      <c r="H336">
        <v>31.93</v>
      </c>
      <c r="I336">
        <v>63.86</v>
      </c>
      <c r="J336">
        <v>0</v>
      </c>
      <c r="K336">
        <v>23.23</v>
      </c>
      <c r="L336" s="14">
        <f>sales_data[[#This Row],[Profit]]/sales_data[[#This Row],[Sales]]</f>
        <v>0.36376448481052304</v>
      </c>
      <c r="M336" t="s">
        <v>35</v>
      </c>
      <c r="N336" t="s">
        <v>36</v>
      </c>
    </row>
    <row r="337" spans="1:14" x14ac:dyDescent="0.25">
      <c r="A337" t="s">
        <v>607</v>
      </c>
      <c r="B337" s="1">
        <v>45930</v>
      </c>
      <c r="C337" t="s">
        <v>273</v>
      </c>
      <c r="D337" t="s">
        <v>274</v>
      </c>
      <c r="E337" t="s">
        <v>16</v>
      </c>
      <c r="F337" t="s">
        <v>34</v>
      </c>
      <c r="G337">
        <v>7</v>
      </c>
      <c r="H337">
        <v>1134.18</v>
      </c>
      <c r="I337">
        <v>7939.26</v>
      </c>
      <c r="J337">
        <v>0</v>
      </c>
      <c r="K337">
        <v>1554.01</v>
      </c>
      <c r="L337" s="14">
        <f>sales_data[[#This Row],[Profit]]/sales_data[[#This Row],[Sales]]</f>
        <v>0.19573738610399458</v>
      </c>
      <c r="M337" t="s">
        <v>18</v>
      </c>
      <c r="N337" t="s">
        <v>30</v>
      </c>
    </row>
    <row r="338" spans="1:14" x14ac:dyDescent="0.25">
      <c r="A338" t="s">
        <v>608</v>
      </c>
      <c r="B338" s="1">
        <v>45758</v>
      </c>
      <c r="C338" t="s">
        <v>449</v>
      </c>
      <c r="D338" t="s">
        <v>450</v>
      </c>
      <c r="E338" t="s">
        <v>78</v>
      </c>
      <c r="F338" t="s">
        <v>255</v>
      </c>
      <c r="G338">
        <v>7</v>
      </c>
      <c r="H338">
        <v>94.07</v>
      </c>
      <c r="I338">
        <v>625.57000000000005</v>
      </c>
      <c r="J338">
        <v>0.05</v>
      </c>
      <c r="K338">
        <v>235.38</v>
      </c>
      <c r="L338" s="14">
        <f>sales_data[[#This Row],[Profit]]/sales_data[[#This Row],[Sales]]</f>
        <v>0.37626484646002839</v>
      </c>
      <c r="M338" t="s">
        <v>46</v>
      </c>
      <c r="N338" t="s">
        <v>58</v>
      </c>
    </row>
    <row r="339" spans="1:14" x14ac:dyDescent="0.25">
      <c r="A339" t="s">
        <v>609</v>
      </c>
      <c r="B339" s="1">
        <v>45670</v>
      </c>
      <c r="C339" t="s">
        <v>417</v>
      </c>
      <c r="D339" t="s">
        <v>418</v>
      </c>
      <c r="E339" t="s">
        <v>16</v>
      </c>
      <c r="F339" t="s">
        <v>40</v>
      </c>
      <c r="G339">
        <v>5</v>
      </c>
      <c r="H339">
        <v>991.06</v>
      </c>
      <c r="I339">
        <v>4212</v>
      </c>
      <c r="J339">
        <v>0.15</v>
      </c>
      <c r="K339">
        <v>857.73</v>
      </c>
      <c r="L339" s="14">
        <f>sales_data[[#This Row],[Profit]]/sales_data[[#This Row],[Sales]]</f>
        <v>0.20363960113960114</v>
      </c>
      <c r="M339" t="s">
        <v>35</v>
      </c>
      <c r="N339" t="s">
        <v>58</v>
      </c>
    </row>
    <row r="340" spans="1:14" x14ac:dyDescent="0.25">
      <c r="A340" t="s">
        <v>610</v>
      </c>
      <c r="B340" s="1">
        <v>45757</v>
      </c>
      <c r="C340" t="s">
        <v>53</v>
      </c>
      <c r="D340" t="s">
        <v>54</v>
      </c>
      <c r="E340" t="s">
        <v>23</v>
      </c>
      <c r="F340" t="s">
        <v>117</v>
      </c>
      <c r="G340">
        <v>7</v>
      </c>
      <c r="H340">
        <v>49.8</v>
      </c>
      <c r="I340">
        <v>348.6</v>
      </c>
      <c r="J340">
        <v>0</v>
      </c>
      <c r="K340">
        <v>151.96</v>
      </c>
      <c r="L340" s="14">
        <f>sales_data[[#This Row],[Profit]]/sales_data[[#This Row],[Sales]]</f>
        <v>0.4359150889271371</v>
      </c>
      <c r="M340" t="s">
        <v>18</v>
      </c>
      <c r="N340" t="s">
        <v>30</v>
      </c>
    </row>
    <row r="341" spans="1:14" x14ac:dyDescent="0.25">
      <c r="A341" t="s">
        <v>611</v>
      </c>
      <c r="B341" s="1">
        <v>45983</v>
      </c>
      <c r="C341" t="s">
        <v>27</v>
      </c>
      <c r="D341" t="s">
        <v>28</v>
      </c>
      <c r="E341" t="s">
        <v>23</v>
      </c>
      <c r="F341" t="s">
        <v>281</v>
      </c>
      <c r="G341">
        <v>4</v>
      </c>
      <c r="H341">
        <v>33.43</v>
      </c>
      <c r="I341">
        <v>120.35</v>
      </c>
      <c r="J341">
        <v>0.1</v>
      </c>
      <c r="K341">
        <v>52.23</v>
      </c>
      <c r="L341" s="14">
        <f>sales_data[[#This Row],[Profit]]/sales_data[[#This Row],[Sales]]</f>
        <v>0.43398421271292065</v>
      </c>
      <c r="M341" t="s">
        <v>25</v>
      </c>
      <c r="N341" t="s">
        <v>19</v>
      </c>
    </row>
    <row r="342" spans="1:14" x14ac:dyDescent="0.25">
      <c r="A342" t="s">
        <v>612</v>
      </c>
      <c r="B342" s="1">
        <v>45670</v>
      </c>
      <c r="C342" t="s">
        <v>505</v>
      </c>
      <c r="D342" t="s">
        <v>506</v>
      </c>
      <c r="E342" t="s">
        <v>16</v>
      </c>
      <c r="F342" t="s">
        <v>34</v>
      </c>
      <c r="G342">
        <v>1</v>
      </c>
      <c r="H342">
        <v>156.03</v>
      </c>
      <c r="I342">
        <v>148.22999999999999</v>
      </c>
      <c r="J342">
        <v>0.05</v>
      </c>
      <c r="K342">
        <v>29.94</v>
      </c>
      <c r="L342" s="14">
        <f>sales_data[[#This Row],[Profit]]/sales_data[[#This Row],[Sales]]</f>
        <v>0.20198340416919655</v>
      </c>
      <c r="M342" t="s">
        <v>35</v>
      </c>
      <c r="N342" t="s">
        <v>47</v>
      </c>
    </row>
    <row r="343" spans="1:14" x14ac:dyDescent="0.25">
      <c r="A343" t="s">
        <v>613</v>
      </c>
      <c r="B343" s="1">
        <v>45759</v>
      </c>
      <c r="C343" t="s">
        <v>84</v>
      </c>
      <c r="D343" t="s">
        <v>85</v>
      </c>
      <c r="E343" t="s">
        <v>16</v>
      </c>
      <c r="F343" t="s">
        <v>17</v>
      </c>
      <c r="G343">
        <v>2</v>
      </c>
      <c r="H343">
        <v>47.71</v>
      </c>
      <c r="I343">
        <v>95.42</v>
      </c>
      <c r="J343">
        <v>0</v>
      </c>
      <c r="K343">
        <v>18.850000000000001</v>
      </c>
      <c r="L343" s="14">
        <f>sales_data[[#This Row],[Profit]]/sales_data[[#This Row],[Sales]]</f>
        <v>0.19754768392370572</v>
      </c>
      <c r="M343" t="s">
        <v>35</v>
      </c>
      <c r="N343" t="s">
        <v>58</v>
      </c>
    </row>
    <row r="344" spans="1:14" x14ac:dyDescent="0.25">
      <c r="A344" t="s">
        <v>614</v>
      </c>
      <c r="B344" s="1">
        <v>45925</v>
      </c>
      <c r="C344" t="s">
        <v>112</v>
      </c>
      <c r="D344" t="s">
        <v>113</v>
      </c>
      <c r="E344" t="s">
        <v>44</v>
      </c>
      <c r="F344" t="s">
        <v>110</v>
      </c>
      <c r="G344">
        <v>4</v>
      </c>
      <c r="H344">
        <v>36.65</v>
      </c>
      <c r="I344">
        <v>139.27000000000001</v>
      </c>
      <c r="J344">
        <v>0.05</v>
      </c>
      <c r="K344">
        <v>39.15</v>
      </c>
      <c r="L344" s="14">
        <f>sales_data[[#This Row],[Profit]]/sales_data[[#This Row],[Sales]]</f>
        <v>0.28110863789760893</v>
      </c>
      <c r="M344" t="s">
        <v>25</v>
      </c>
      <c r="N344" t="s">
        <v>47</v>
      </c>
    </row>
    <row r="345" spans="1:14" x14ac:dyDescent="0.25">
      <c r="A345" t="s">
        <v>615</v>
      </c>
      <c r="B345" s="1">
        <v>45776</v>
      </c>
      <c r="C345" t="s">
        <v>402</v>
      </c>
      <c r="D345" t="s">
        <v>403</v>
      </c>
      <c r="E345" t="s">
        <v>23</v>
      </c>
      <c r="F345" t="s">
        <v>281</v>
      </c>
      <c r="G345">
        <v>7</v>
      </c>
      <c r="H345">
        <v>19.93</v>
      </c>
      <c r="I345">
        <v>139.51</v>
      </c>
      <c r="J345">
        <v>0</v>
      </c>
      <c r="K345">
        <v>57.8</v>
      </c>
      <c r="L345" s="14">
        <f>sales_data[[#This Row],[Profit]]/sales_data[[#This Row],[Sales]]</f>
        <v>0.41430721812056481</v>
      </c>
      <c r="M345" t="s">
        <v>46</v>
      </c>
      <c r="N345" t="s">
        <v>19</v>
      </c>
    </row>
    <row r="346" spans="1:14" x14ac:dyDescent="0.25">
      <c r="A346" t="s">
        <v>616</v>
      </c>
      <c r="B346" s="1">
        <v>45819</v>
      </c>
      <c r="C346" t="s">
        <v>132</v>
      </c>
      <c r="D346" t="s">
        <v>133</v>
      </c>
      <c r="E346" t="s">
        <v>16</v>
      </c>
      <c r="F346" t="s">
        <v>71</v>
      </c>
      <c r="G346">
        <v>6</v>
      </c>
      <c r="H346">
        <v>536.72</v>
      </c>
      <c r="I346">
        <v>3059.3</v>
      </c>
      <c r="J346">
        <v>0.05</v>
      </c>
      <c r="K346">
        <v>611.08000000000004</v>
      </c>
      <c r="L346" s="14">
        <f>sales_data[[#This Row],[Profit]]/sales_data[[#This Row],[Sales]]</f>
        <v>0.19974503971496749</v>
      </c>
      <c r="M346" t="s">
        <v>18</v>
      </c>
      <c r="N346" t="s">
        <v>47</v>
      </c>
    </row>
    <row r="347" spans="1:14" x14ac:dyDescent="0.25">
      <c r="A347" t="s">
        <v>617</v>
      </c>
      <c r="B347" s="1">
        <v>45783</v>
      </c>
      <c r="C347" t="s">
        <v>87</v>
      </c>
      <c r="D347" t="s">
        <v>88</v>
      </c>
      <c r="E347" t="s">
        <v>16</v>
      </c>
      <c r="F347" t="s">
        <v>71</v>
      </c>
      <c r="G347">
        <v>3</v>
      </c>
      <c r="H347">
        <v>804.03</v>
      </c>
      <c r="I347">
        <v>2291.4899999999998</v>
      </c>
      <c r="J347">
        <v>0.05</v>
      </c>
      <c r="K347">
        <v>420.77</v>
      </c>
      <c r="L347" s="14">
        <f>sales_data[[#This Row],[Profit]]/sales_data[[#This Row],[Sales]]</f>
        <v>0.18362288292770207</v>
      </c>
      <c r="M347" t="s">
        <v>18</v>
      </c>
      <c r="N347" t="s">
        <v>36</v>
      </c>
    </row>
    <row r="348" spans="1:14" x14ac:dyDescent="0.25">
      <c r="A348" t="s">
        <v>618</v>
      </c>
      <c r="B348" s="1">
        <v>45874</v>
      </c>
      <c r="C348" t="s">
        <v>253</v>
      </c>
      <c r="D348" t="s">
        <v>254</v>
      </c>
      <c r="E348" t="s">
        <v>44</v>
      </c>
      <c r="F348" t="s">
        <v>110</v>
      </c>
      <c r="G348">
        <v>5</v>
      </c>
      <c r="H348">
        <v>296.66000000000003</v>
      </c>
      <c r="I348">
        <v>1409.14</v>
      </c>
      <c r="J348">
        <v>0.05</v>
      </c>
      <c r="K348">
        <v>434.06</v>
      </c>
      <c r="L348" s="14">
        <f>sales_data[[#This Row],[Profit]]/sales_data[[#This Row],[Sales]]</f>
        <v>0.30803184921299515</v>
      </c>
      <c r="M348" t="s">
        <v>35</v>
      </c>
      <c r="N348" t="s">
        <v>19</v>
      </c>
    </row>
    <row r="349" spans="1:14" x14ac:dyDescent="0.25">
      <c r="A349" t="s">
        <v>619</v>
      </c>
      <c r="B349" s="1">
        <v>45862</v>
      </c>
      <c r="C349" t="s">
        <v>367</v>
      </c>
      <c r="D349" t="s">
        <v>368</v>
      </c>
      <c r="E349" t="s">
        <v>16</v>
      </c>
      <c r="F349" t="s">
        <v>40</v>
      </c>
      <c r="G349">
        <v>4</v>
      </c>
      <c r="H349">
        <v>581.73</v>
      </c>
      <c r="I349">
        <v>2326.92</v>
      </c>
      <c r="J349">
        <v>0</v>
      </c>
      <c r="K349">
        <v>421.79</v>
      </c>
      <c r="L349" s="14">
        <f>sales_data[[#This Row],[Profit]]/sales_data[[#This Row],[Sales]]</f>
        <v>0.18126536365667922</v>
      </c>
      <c r="M349" t="s">
        <v>35</v>
      </c>
      <c r="N349" t="s">
        <v>19</v>
      </c>
    </row>
    <row r="350" spans="1:14" x14ac:dyDescent="0.25">
      <c r="A350" t="s">
        <v>620</v>
      </c>
      <c r="B350" s="1">
        <v>45988</v>
      </c>
      <c r="C350" t="s">
        <v>370</v>
      </c>
      <c r="D350" t="s">
        <v>371</v>
      </c>
      <c r="E350" t="s">
        <v>44</v>
      </c>
      <c r="F350" t="s">
        <v>45</v>
      </c>
      <c r="G350">
        <v>4</v>
      </c>
      <c r="H350">
        <v>550.54</v>
      </c>
      <c r="I350">
        <v>2202.16</v>
      </c>
      <c r="J350">
        <v>0</v>
      </c>
      <c r="K350">
        <v>634.73</v>
      </c>
      <c r="L350" s="14">
        <f>sales_data[[#This Row],[Profit]]/sales_data[[#This Row],[Sales]]</f>
        <v>0.28823064627456679</v>
      </c>
      <c r="M350" t="s">
        <v>18</v>
      </c>
      <c r="N350" t="s">
        <v>47</v>
      </c>
    </row>
    <row r="351" spans="1:14" x14ac:dyDescent="0.25">
      <c r="A351" t="s">
        <v>621</v>
      </c>
      <c r="B351" s="1">
        <v>45958</v>
      </c>
      <c r="C351" t="s">
        <v>622</v>
      </c>
      <c r="D351" t="s">
        <v>623</v>
      </c>
      <c r="E351" t="s">
        <v>78</v>
      </c>
      <c r="F351" t="s">
        <v>255</v>
      </c>
      <c r="G351">
        <v>3</v>
      </c>
      <c r="H351">
        <v>176.84</v>
      </c>
      <c r="I351">
        <v>503.99</v>
      </c>
      <c r="J351">
        <v>0.05</v>
      </c>
      <c r="K351">
        <v>182.85</v>
      </c>
      <c r="L351" s="14">
        <f>sales_data[[#This Row],[Profit]]/sales_data[[#This Row],[Sales]]</f>
        <v>0.36280481755590388</v>
      </c>
      <c r="M351" t="s">
        <v>18</v>
      </c>
      <c r="N351" t="s">
        <v>30</v>
      </c>
    </row>
    <row r="352" spans="1:14" x14ac:dyDescent="0.25">
      <c r="A352" t="s">
        <v>624</v>
      </c>
      <c r="B352" s="1">
        <v>45706</v>
      </c>
      <c r="C352" t="s">
        <v>42</v>
      </c>
      <c r="D352" t="s">
        <v>43</v>
      </c>
      <c r="E352" t="s">
        <v>23</v>
      </c>
      <c r="F352" t="s">
        <v>117</v>
      </c>
      <c r="G352">
        <v>4</v>
      </c>
      <c r="H352">
        <v>28.98</v>
      </c>
      <c r="I352">
        <v>104.33</v>
      </c>
      <c r="J352">
        <v>0.1</v>
      </c>
      <c r="K352">
        <v>44.22</v>
      </c>
      <c r="L352" s="14">
        <f>sales_data[[#This Row],[Profit]]/sales_data[[#This Row],[Sales]]</f>
        <v>0.42384740726540782</v>
      </c>
      <c r="M352" t="s">
        <v>18</v>
      </c>
      <c r="N352" t="s">
        <v>36</v>
      </c>
    </row>
    <row r="353" spans="1:14" x14ac:dyDescent="0.25">
      <c r="A353" t="s">
        <v>625</v>
      </c>
      <c r="B353" s="1">
        <v>45898</v>
      </c>
      <c r="C353" t="s">
        <v>626</v>
      </c>
      <c r="D353" t="s">
        <v>627</v>
      </c>
      <c r="E353" t="s">
        <v>23</v>
      </c>
      <c r="F353" t="s">
        <v>29</v>
      </c>
      <c r="G353">
        <v>5</v>
      </c>
      <c r="H353">
        <v>41.29</v>
      </c>
      <c r="I353">
        <v>206.45</v>
      </c>
      <c r="J353">
        <v>0</v>
      </c>
      <c r="K353">
        <v>90.56</v>
      </c>
      <c r="L353" s="14">
        <f>sales_data[[#This Row],[Profit]]/sales_data[[#This Row],[Sales]]</f>
        <v>0.43865342697989834</v>
      </c>
      <c r="M353" t="s">
        <v>35</v>
      </c>
      <c r="N353" t="s">
        <v>47</v>
      </c>
    </row>
    <row r="354" spans="1:14" x14ac:dyDescent="0.25">
      <c r="A354" t="s">
        <v>628</v>
      </c>
      <c r="B354" s="1">
        <v>45672</v>
      </c>
      <c r="C354" t="s">
        <v>69</v>
      </c>
      <c r="D354" t="s">
        <v>70</v>
      </c>
      <c r="E354" t="s">
        <v>16</v>
      </c>
      <c r="F354" t="s">
        <v>89</v>
      </c>
      <c r="G354">
        <v>5</v>
      </c>
      <c r="H354">
        <v>1140.1600000000001</v>
      </c>
      <c r="I354">
        <v>4560.6400000000003</v>
      </c>
      <c r="J354">
        <v>0.2</v>
      </c>
      <c r="K354">
        <v>872.78</v>
      </c>
      <c r="L354" s="14">
        <f>sales_data[[#This Row],[Profit]]/sales_data[[#This Row],[Sales]]</f>
        <v>0.19137226354195899</v>
      </c>
      <c r="M354" t="s">
        <v>46</v>
      </c>
      <c r="N354" t="s">
        <v>47</v>
      </c>
    </row>
    <row r="355" spans="1:14" x14ac:dyDescent="0.25">
      <c r="A355" t="s">
        <v>629</v>
      </c>
      <c r="B355" s="1">
        <v>45880</v>
      </c>
      <c r="C355" t="s">
        <v>374</v>
      </c>
      <c r="D355" t="s">
        <v>375</v>
      </c>
      <c r="E355" t="s">
        <v>44</v>
      </c>
      <c r="F355" t="s">
        <v>51</v>
      </c>
      <c r="G355">
        <v>3</v>
      </c>
      <c r="H355">
        <v>141.05000000000001</v>
      </c>
      <c r="I355">
        <v>401.99</v>
      </c>
      <c r="J355">
        <v>0.05</v>
      </c>
      <c r="K355">
        <v>122.09</v>
      </c>
      <c r="L355" s="14">
        <f>sales_data[[#This Row],[Profit]]/sales_data[[#This Row],[Sales]]</f>
        <v>0.30371402273688403</v>
      </c>
      <c r="M355" t="s">
        <v>18</v>
      </c>
      <c r="N355" t="s">
        <v>30</v>
      </c>
    </row>
    <row r="356" spans="1:14" x14ac:dyDescent="0.25">
      <c r="A356" t="s">
        <v>630</v>
      </c>
      <c r="B356" s="1">
        <v>45990</v>
      </c>
      <c r="C356" t="s">
        <v>139</v>
      </c>
      <c r="D356" t="s">
        <v>140</v>
      </c>
      <c r="E356" t="s">
        <v>78</v>
      </c>
      <c r="F356" t="s">
        <v>106</v>
      </c>
      <c r="G356">
        <v>3</v>
      </c>
      <c r="H356">
        <v>75.400000000000006</v>
      </c>
      <c r="I356">
        <v>203.58</v>
      </c>
      <c r="J356">
        <v>0.1</v>
      </c>
      <c r="K356">
        <v>78.73</v>
      </c>
      <c r="L356" s="14">
        <f>sales_data[[#This Row],[Profit]]/sales_data[[#This Row],[Sales]]</f>
        <v>0.38672757638274879</v>
      </c>
      <c r="M356" t="s">
        <v>25</v>
      </c>
      <c r="N356" t="s">
        <v>58</v>
      </c>
    </row>
    <row r="357" spans="1:14" x14ac:dyDescent="0.25">
      <c r="A357" t="s">
        <v>631</v>
      </c>
      <c r="B357" s="1">
        <v>45747</v>
      </c>
      <c r="C357" t="s">
        <v>335</v>
      </c>
      <c r="D357" t="s">
        <v>336</v>
      </c>
      <c r="E357" t="s">
        <v>44</v>
      </c>
      <c r="F357" t="s">
        <v>127</v>
      </c>
      <c r="G357">
        <v>1</v>
      </c>
      <c r="H357">
        <v>176.81</v>
      </c>
      <c r="I357">
        <v>167.97</v>
      </c>
      <c r="J357">
        <v>0.05</v>
      </c>
      <c r="K357">
        <v>47.44</v>
      </c>
      <c r="L357" s="14">
        <f>sales_data[[#This Row],[Profit]]/sales_data[[#This Row],[Sales]]</f>
        <v>0.2824313865571233</v>
      </c>
      <c r="M357" t="s">
        <v>18</v>
      </c>
      <c r="N357" t="s">
        <v>47</v>
      </c>
    </row>
    <row r="358" spans="1:14" x14ac:dyDescent="0.25">
      <c r="A358" t="s">
        <v>632</v>
      </c>
      <c r="B358" s="1">
        <v>45765</v>
      </c>
      <c r="C358" t="s">
        <v>168</v>
      </c>
      <c r="D358" t="s">
        <v>169</v>
      </c>
      <c r="E358" t="s">
        <v>78</v>
      </c>
      <c r="F358" t="s">
        <v>79</v>
      </c>
      <c r="G358">
        <v>5</v>
      </c>
      <c r="H358">
        <v>164.16</v>
      </c>
      <c r="I358">
        <v>697.68</v>
      </c>
      <c r="J358">
        <v>0.15</v>
      </c>
      <c r="K358">
        <v>252</v>
      </c>
      <c r="L358" s="14">
        <f>sales_data[[#This Row],[Profit]]/sales_data[[#This Row],[Sales]]</f>
        <v>0.36119711042311664</v>
      </c>
      <c r="M358" t="s">
        <v>35</v>
      </c>
      <c r="N358" t="s">
        <v>47</v>
      </c>
    </row>
    <row r="359" spans="1:14" x14ac:dyDescent="0.25">
      <c r="A359" t="s">
        <v>633</v>
      </c>
      <c r="B359" s="1">
        <v>46019</v>
      </c>
      <c r="C359" t="s">
        <v>493</v>
      </c>
      <c r="D359" t="s">
        <v>494</v>
      </c>
      <c r="E359" t="s">
        <v>78</v>
      </c>
      <c r="F359" t="s">
        <v>194</v>
      </c>
      <c r="G359">
        <v>6</v>
      </c>
      <c r="H359">
        <v>131.55000000000001</v>
      </c>
      <c r="I359">
        <v>789.3</v>
      </c>
      <c r="J359">
        <v>0</v>
      </c>
      <c r="K359">
        <v>292.66000000000003</v>
      </c>
      <c r="L359" s="14">
        <f>sales_data[[#This Row],[Profit]]/sales_data[[#This Row],[Sales]]</f>
        <v>0.37078423919929054</v>
      </c>
      <c r="M359" t="s">
        <v>18</v>
      </c>
      <c r="N359" t="s">
        <v>36</v>
      </c>
    </row>
    <row r="360" spans="1:14" x14ac:dyDescent="0.25">
      <c r="A360" t="s">
        <v>634</v>
      </c>
      <c r="B360" s="1">
        <v>45999</v>
      </c>
      <c r="C360" t="s">
        <v>266</v>
      </c>
      <c r="D360" t="s">
        <v>267</v>
      </c>
      <c r="E360" t="s">
        <v>16</v>
      </c>
      <c r="F360" t="s">
        <v>89</v>
      </c>
      <c r="G360">
        <v>6</v>
      </c>
      <c r="H360">
        <v>733.6</v>
      </c>
      <c r="I360">
        <v>3741.36</v>
      </c>
      <c r="J360">
        <v>0.15</v>
      </c>
      <c r="K360">
        <v>697.64</v>
      </c>
      <c r="L360" s="14">
        <f>sales_data[[#This Row],[Profit]]/sales_data[[#This Row],[Sales]]</f>
        <v>0.18646695319349113</v>
      </c>
      <c r="M360" t="s">
        <v>25</v>
      </c>
      <c r="N360" t="s">
        <v>30</v>
      </c>
    </row>
    <row r="361" spans="1:14" x14ac:dyDescent="0.25">
      <c r="A361" t="s">
        <v>635</v>
      </c>
      <c r="B361" s="1">
        <v>45873</v>
      </c>
      <c r="C361" t="s">
        <v>192</v>
      </c>
      <c r="D361" t="s">
        <v>193</v>
      </c>
      <c r="E361" t="s">
        <v>16</v>
      </c>
      <c r="F361" t="s">
        <v>34</v>
      </c>
      <c r="G361">
        <v>4</v>
      </c>
      <c r="H361">
        <v>234.02</v>
      </c>
      <c r="I361">
        <v>889.28</v>
      </c>
      <c r="J361">
        <v>0.05</v>
      </c>
      <c r="K361">
        <v>165.19</v>
      </c>
      <c r="L361" s="14">
        <f>sales_data[[#This Row],[Profit]]/sales_data[[#This Row],[Sales]]</f>
        <v>0.18575701691255847</v>
      </c>
      <c r="M361" t="s">
        <v>46</v>
      </c>
      <c r="N361" t="s">
        <v>19</v>
      </c>
    </row>
    <row r="362" spans="1:14" x14ac:dyDescent="0.25">
      <c r="A362" t="s">
        <v>636</v>
      </c>
      <c r="B362" s="1">
        <v>46021</v>
      </c>
      <c r="C362" t="s">
        <v>180</v>
      </c>
      <c r="D362" t="s">
        <v>181</v>
      </c>
      <c r="E362" t="s">
        <v>16</v>
      </c>
      <c r="F362" t="s">
        <v>17</v>
      </c>
      <c r="G362">
        <v>5</v>
      </c>
      <c r="H362">
        <v>164.24</v>
      </c>
      <c r="I362">
        <v>821.2</v>
      </c>
      <c r="J362">
        <v>0</v>
      </c>
      <c r="K362">
        <v>162.65</v>
      </c>
      <c r="L362" s="14">
        <f>sales_data[[#This Row],[Profit]]/sales_data[[#This Row],[Sales]]</f>
        <v>0.19806380905991233</v>
      </c>
      <c r="M362" t="s">
        <v>18</v>
      </c>
      <c r="N362" t="s">
        <v>47</v>
      </c>
    </row>
    <row r="363" spans="1:14" x14ac:dyDescent="0.25">
      <c r="A363" t="s">
        <v>637</v>
      </c>
      <c r="B363" s="1">
        <v>45750</v>
      </c>
      <c r="C363" t="s">
        <v>294</v>
      </c>
      <c r="D363" t="s">
        <v>295</v>
      </c>
      <c r="E363" t="s">
        <v>78</v>
      </c>
      <c r="F363" t="s">
        <v>255</v>
      </c>
      <c r="G363">
        <v>1</v>
      </c>
      <c r="H363">
        <v>117.3</v>
      </c>
      <c r="I363">
        <v>117.3</v>
      </c>
      <c r="J363">
        <v>0</v>
      </c>
      <c r="K363">
        <v>45.63</v>
      </c>
      <c r="L363" s="14">
        <f>sales_data[[#This Row],[Profit]]/sales_data[[#This Row],[Sales]]</f>
        <v>0.38900255754475704</v>
      </c>
      <c r="M363" t="s">
        <v>18</v>
      </c>
      <c r="N363" t="s">
        <v>36</v>
      </c>
    </row>
    <row r="364" spans="1:14" x14ac:dyDescent="0.25">
      <c r="A364" t="s">
        <v>638</v>
      </c>
      <c r="B364" s="1">
        <v>45863</v>
      </c>
      <c r="C364" t="s">
        <v>225</v>
      </c>
      <c r="D364" t="s">
        <v>226</v>
      </c>
      <c r="E364" t="s">
        <v>44</v>
      </c>
      <c r="F364" t="s">
        <v>96</v>
      </c>
      <c r="G364">
        <v>2</v>
      </c>
      <c r="H364">
        <v>694.94</v>
      </c>
      <c r="I364">
        <v>1320.39</v>
      </c>
      <c r="J364">
        <v>0.05</v>
      </c>
      <c r="K364">
        <v>386.59</v>
      </c>
      <c r="L364" s="14">
        <f>sales_data[[#This Row],[Profit]]/sales_data[[#This Row],[Sales]]</f>
        <v>0.29278470754852731</v>
      </c>
      <c r="M364" t="s">
        <v>46</v>
      </c>
      <c r="N364" t="s">
        <v>30</v>
      </c>
    </row>
    <row r="365" spans="1:14" x14ac:dyDescent="0.25">
      <c r="A365" t="s">
        <v>639</v>
      </c>
      <c r="B365" s="1">
        <v>45715</v>
      </c>
      <c r="C365" t="s">
        <v>241</v>
      </c>
      <c r="D365" t="s">
        <v>242</v>
      </c>
      <c r="E365" t="s">
        <v>78</v>
      </c>
      <c r="F365" t="s">
        <v>255</v>
      </c>
      <c r="G365">
        <v>5</v>
      </c>
      <c r="H365">
        <v>175.59</v>
      </c>
      <c r="I365">
        <v>877.95</v>
      </c>
      <c r="J365">
        <v>0</v>
      </c>
      <c r="K365">
        <v>320.27999999999997</v>
      </c>
      <c r="L365" s="14">
        <f>sales_data[[#This Row],[Profit]]/sales_data[[#This Row],[Sales]]</f>
        <v>0.36480437382538866</v>
      </c>
      <c r="M365" t="s">
        <v>35</v>
      </c>
      <c r="N365" t="s">
        <v>36</v>
      </c>
    </row>
    <row r="366" spans="1:14" x14ac:dyDescent="0.25">
      <c r="A366" t="s">
        <v>640</v>
      </c>
      <c r="B366" s="1">
        <v>45935</v>
      </c>
      <c r="C366" t="s">
        <v>125</v>
      </c>
      <c r="D366" t="s">
        <v>126</v>
      </c>
      <c r="E366" t="s">
        <v>16</v>
      </c>
      <c r="F366" t="s">
        <v>71</v>
      </c>
      <c r="G366">
        <v>5</v>
      </c>
      <c r="H366">
        <v>289.25</v>
      </c>
      <c r="I366">
        <v>1373.94</v>
      </c>
      <c r="J366">
        <v>0.05</v>
      </c>
      <c r="K366">
        <v>258.88</v>
      </c>
      <c r="L366" s="14">
        <f>sales_data[[#This Row],[Profit]]/sales_data[[#This Row],[Sales]]</f>
        <v>0.18842161957581843</v>
      </c>
      <c r="M366" t="s">
        <v>25</v>
      </c>
      <c r="N366" t="s">
        <v>58</v>
      </c>
    </row>
    <row r="367" spans="1:14" x14ac:dyDescent="0.25">
      <c r="A367" t="s">
        <v>641</v>
      </c>
      <c r="B367" s="1">
        <v>45939</v>
      </c>
      <c r="C367" t="s">
        <v>168</v>
      </c>
      <c r="D367" t="s">
        <v>169</v>
      </c>
      <c r="E367" t="s">
        <v>44</v>
      </c>
      <c r="F367" t="s">
        <v>45</v>
      </c>
      <c r="G367">
        <v>3</v>
      </c>
      <c r="H367">
        <v>126.36</v>
      </c>
      <c r="I367">
        <v>360.13</v>
      </c>
      <c r="J367">
        <v>0.05</v>
      </c>
      <c r="K367">
        <v>101.88</v>
      </c>
      <c r="L367" s="14">
        <f>sales_data[[#This Row],[Profit]]/sales_data[[#This Row],[Sales]]</f>
        <v>0.28289784244578348</v>
      </c>
      <c r="M367" t="s">
        <v>46</v>
      </c>
      <c r="N367" t="s">
        <v>19</v>
      </c>
    </row>
    <row r="368" spans="1:14" x14ac:dyDescent="0.25">
      <c r="A368" t="s">
        <v>642</v>
      </c>
      <c r="B368" s="1">
        <v>45936</v>
      </c>
      <c r="C368" t="s">
        <v>643</v>
      </c>
      <c r="D368" t="s">
        <v>644</v>
      </c>
      <c r="E368" t="s">
        <v>44</v>
      </c>
      <c r="F368" t="s">
        <v>45</v>
      </c>
      <c r="G368">
        <v>4</v>
      </c>
      <c r="H368">
        <v>363.35</v>
      </c>
      <c r="I368">
        <v>1453.4</v>
      </c>
      <c r="J368">
        <v>0</v>
      </c>
      <c r="K368">
        <v>424.78</v>
      </c>
      <c r="L368" s="14">
        <f>sales_data[[#This Row],[Profit]]/sales_data[[#This Row],[Sales]]</f>
        <v>0.29226640979771568</v>
      </c>
      <c r="M368" t="s">
        <v>35</v>
      </c>
      <c r="N368" t="s">
        <v>58</v>
      </c>
    </row>
    <row r="369" spans="1:14" x14ac:dyDescent="0.25">
      <c r="A369" t="s">
        <v>645</v>
      </c>
      <c r="B369" s="1">
        <v>45981</v>
      </c>
      <c r="C369" t="s">
        <v>370</v>
      </c>
      <c r="D369" t="s">
        <v>371</v>
      </c>
      <c r="E369" t="s">
        <v>23</v>
      </c>
      <c r="F369" t="s">
        <v>281</v>
      </c>
      <c r="G369">
        <v>3</v>
      </c>
      <c r="H369">
        <v>42.03</v>
      </c>
      <c r="I369">
        <v>119.79</v>
      </c>
      <c r="J369">
        <v>0.05</v>
      </c>
      <c r="K369">
        <v>49.79</v>
      </c>
      <c r="L369" s="14">
        <f>sales_data[[#This Row],[Profit]]/sales_data[[#This Row],[Sales]]</f>
        <v>0.41564404374321728</v>
      </c>
      <c r="M369" t="s">
        <v>25</v>
      </c>
      <c r="N369" t="s">
        <v>19</v>
      </c>
    </row>
    <row r="370" spans="1:14" x14ac:dyDescent="0.25">
      <c r="A370" t="s">
        <v>646</v>
      </c>
      <c r="B370" s="1">
        <v>45681</v>
      </c>
      <c r="C370" t="s">
        <v>84</v>
      </c>
      <c r="D370" t="s">
        <v>85</v>
      </c>
      <c r="E370" t="s">
        <v>23</v>
      </c>
      <c r="F370" t="s">
        <v>196</v>
      </c>
      <c r="G370">
        <v>2</v>
      </c>
      <c r="H370">
        <v>66.510000000000005</v>
      </c>
      <c r="I370">
        <v>126.37</v>
      </c>
      <c r="J370">
        <v>0.05</v>
      </c>
      <c r="K370">
        <v>53.85</v>
      </c>
      <c r="L370" s="14">
        <f>sales_data[[#This Row],[Profit]]/sales_data[[#This Row],[Sales]]</f>
        <v>0.42612961937168631</v>
      </c>
      <c r="M370" t="s">
        <v>35</v>
      </c>
      <c r="N370" t="s">
        <v>30</v>
      </c>
    </row>
    <row r="371" spans="1:14" x14ac:dyDescent="0.25">
      <c r="A371" t="s">
        <v>647</v>
      </c>
      <c r="B371" s="1">
        <v>46008</v>
      </c>
      <c r="C371" t="s">
        <v>21</v>
      </c>
      <c r="D371" t="s">
        <v>22</v>
      </c>
      <c r="E371" t="s">
        <v>44</v>
      </c>
      <c r="F371" t="s">
        <v>51</v>
      </c>
      <c r="G371">
        <v>6</v>
      </c>
      <c r="H371">
        <v>386.45</v>
      </c>
      <c r="I371">
        <v>2086.83</v>
      </c>
      <c r="J371">
        <v>0.1</v>
      </c>
      <c r="K371">
        <v>643.08000000000004</v>
      </c>
      <c r="L371" s="14">
        <f>sales_data[[#This Row],[Profit]]/sales_data[[#This Row],[Sales]]</f>
        <v>0.30816118227167527</v>
      </c>
      <c r="M371" t="s">
        <v>46</v>
      </c>
      <c r="N371" t="s">
        <v>19</v>
      </c>
    </row>
    <row r="372" spans="1:14" x14ac:dyDescent="0.25">
      <c r="A372" t="s">
        <v>648</v>
      </c>
      <c r="B372" s="1">
        <v>45974</v>
      </c>
      <c r="C372" t="s">
        <v>338</v>
      </c>
      <c r="D372" t="s">
        <v>339</v>
      </c>
      <c r="E372" t="s">
        <v>23</v>
      </c>
      <c r="F372" t="s">
        <v>196</v>
      </c>
      <c r="G372">
        <v>3</v>
      </c>
      <c r="H372">
        <v>70.97</v>
      </c>
      <c r="I372">
        <v>212.91</v>
      </c>
      <c r="J372">
        <v>0</v>
      </c>
      <c r="K372">
        <v>92.46</v>
      </c>
      <c r="L372" s="14">
        <f>sales_data[[#This Row],[Profit]]/sales_data[[#This Row],[Sales]]</f>
        <v>0.43426800056361842</v>
      </c>
      <c r="M372" t="s">
        <v>25</v>
      </c>
      <c r="N372" t="s">
        <v>58</v>
      </c>
    </row>
    <row r="373" spans="1:14" x14ac:dyDescent="0.25">
      <c r="A373" t="s">
        <v>649</v>
      </c>
      <c r="B373" s="1">
        <v>46000</v>
      </c>
      <c r="C373" t="s">
        <v>143</v>
      </c>
      <c r="D373" t="s">
        <v>144</v>
      </c>
      <c r="E373" t="s">
        <v>23</v>
      </c>
      <c r="F373" t="s">
        <v>117</v>
      </c>
      <c r="G373">
        <v>2</v>
      </c>
      <c r="H373">
        <v>72</v>
      </c>
      <c r="I373">
        <v>122.4</v>
      </c>
      <c r="J373">
        <v>0.15</v>
      </c>
      <c r="K373">
        <v>52.93</v>
      </c>
      <c r="L373" s="14">
        <f>sales_data[[#This Row],[Profit]]/sales_data[[#This Row],[Sales]]</f>
        <v>0.43243464052287578</v>
      </c>
      <c r="M373" t="s">
        <v>18</v>
      </c>
      <c r="N373" t="s">
        <v>36</v>
      </c>
    </row>
    <row r="374" spans="1:14" x14ac:dyDescent="0.25">
      <c r="A374" t="s">
        <v>650</v>
      </c>
      <c r="B374" s="1">
        <v>45704</v>
      </c>
      <c r="C374" t="s">
        <v>449</v>
      </c>
      <c r="D374" t="s">
        <v>450</v>
      </c>
      <c r="E374" t="s">
        <v>16</v>
      </c>
      <c r="F374" t="s">
        <v>34</v>
      </c>
      <c r="G374">
        <v>4</v>
      </c>
      <c r="H374">
        <v>1182.21</v>
      </c>
      <c r="I374">
        <v>4255.96</v>
      </c>
      <c r="J374">
        <v>0.1</v>
      </c>
      <c r="K374">
        <v>843.55</v>
      </c>
      <c r="L374" s="14">
        <f>sales_data[[#This Row],[Profit]]/sales_data[[#This Row],[Sales]]</f>
        <v>0.19820440041729714</v>
      </c>
      <c r="M374" t="s">
        <v>35</v>
      </c>
      <c r="N374" t="s">
        <v>36</v>
      </c>
    </row>
    <row r="375" spans="1:14" x14ac:dyDescent="0.25">
      <c r="A375" t="s">
        <v>651</v>
      </c>
      <c r="B375" s="1">
        <v>45859</v>
      </c>
      <c r="C375" t="s">
        <v>452</v>
      </c>
      <c r="D375" t="s">
        <v>453</v>
      </c>
      <c r="E375" t="s">
        <v>44</v>
      </c>
      <c r="F375" t="s">
        <v>96</v>
      </c>
      <c r="G375">
        <v>3</v>
      </c>
      <c r="H375">
        <v>210.24</v>
      </c>
      <c r="I375">
        <v>599.17999999999995</v>
      </c>
      <c r="J375">
        <v>0.05</v>
      </c>
      <c r="K375">
        <v>180.91</v>
      </c>
      <c r="L375" s="14">
        <f>sales_data[[#This Row],[Profit]]/sales_data[[#This Row],[Sales]]</f>
        <v>0.30192930338128776</v>
      </c>
      <c r="M375" t="s">
        <v>25</v>
      </c>
      <c r="N375" t="s">
        <v>47</v>
      </c>
    </row>
    <row r="376" spans="1:14" x14ac:dyDescent="0.25">
      <c r="A376" t="s">
        <v>652</v>
      </c>
      <c r="B376" s="1">
        <v>45981</v>
      </c>
      <c r="C376" t="s">
        <v>341</v>
      </c>
      <c r="D376" t="s">
        <v>342</v>
      </c>
      <c r="E376" t="s">
        <v>44</v>
      </c>
      <c r="F376" t="s">
        <v>110</v>
      </c>
      <c r="G376">
        <v>4</v>
      </c>
      <c r="H376">
        <v>453.55</v>
      </c>
      <c r="I376">
        <v>1814.2</v>
      </c>
      <c r="J376">
        <v>0</v>
      </c>
      <c r="K376">
        <v>531.91999999999996</v>
      </c>
      <c r="L376" s="14">
        <f>sales_data[[#This Row],[Profit]]/sales_data[[#This Row],[Sales]]</f>
        <v>0.29319810384742584</v>
      </c>
      <c r="M376" t="s">
        <v>35</v>
      </c>
      <c r="N376" t="s">
        <v>36</v>
      </c>
    </row>
    <row r="377" spans="1:14" x14ac:dyDescent="0.25">
      <c r="A377" t="s">
        <v>653</v>
      </c>
      <c r="B377" s="1">
        <v>45949</v>
      </c>
      <c r="C377" t="s">
        <v>312</v>
      </c>
      <c r="D377" t="s">
        <v>313</v>
      </c>
      <c r="E377" t="s">
        <v>23</v>
      </c>
      <c r="F377" t="s">
        <v>24</v>
      </c>
      <c r="G377">
        <v>1</v>
      </c>
      <c r="H377">
        <v>37.56</v>
      </c>
      <c r="I377">
        <v>37.56</v>
      </c>
      <c r="J377">
        <v>0</v>
      </c>
      <c r="K377">
        <v>16.32</v>
      </c>
      <c r="L377" s="14">
        <f>sales_data[[#This Row],[Profit]]/sales_data[[#This Row],[Sales]]</f>
        <v>0.43450479233226835</v>
      </c>
      <c r="M377" t="s">
        <v>18</v>
      </c>
      <c r="N377" t="s">
        <v>58</v>
      </c>
    </row>
    <row r="378" spans="1:14" x14ac:dyDescent="0.25">
      <c r="A378" t="s">
        <v>654</v>
      </c>
      <c r="B378" s="1">
        <v>45824</v>
      </c>
      <c r="C378" t="s">
        <v>505</v>
      </c>
      <c r="D378" t="s">
        <v>506</v>
      </c>
      <c r="E378" t="s">
        <v>78</v>
      </c>
      <c r="F378" t="s">
        <v>205</v>
      </c>
      <c r="G378">
        <v>1</v>
      </c>
      <c r="H378">
        <v>13.31</v>
      </c>
      <c r="I378">
        <v>13.31</v>
      </c>
      <c r="J378">
        <v>0</v>
      </c>
      <c r="K378">
        <v>5.13</v>
      </c>
      <c r="L378" s="14">
        <f>sales_data[[#This Row],[Profit]]/sales_data[[#This Row],[Sales]]</f>
        <v>0.38542449286250935</v>
      </c>
      <c r="M378" t="s">
        <v>46</v>
      </c>
      <c r="N378" t="s">
        <v>30</v>
      </c>
    </row>
    <row r="379" spans="1:14" x14ac:dyDescent="0.25">
      <c r="A379" t="s">
        <v>655</v>
      </c>
      <c r="B379" s="1">
        <v>45994</v>
      </c>
      <c r="C379" t="s">
        <v>152</v>
      </c>
      <c r="D379" t="s">
        <v>153</v>
      </c>
      <c r="E379" t="s">
        <v>78</v>
      </c>
      <c r="F379" t="s">
        <v>106</v>
      </c>
      <c r="G379">
        <v>1</v>
      </c>
      <c r="H379">
        <v>133.05000000000001</v>
      </c>
      <c r="I379">
        <v>119.75</v>
      </c>
      <c r="J379">
        <v>0.1</v>
      </c>
      <c r="K379">
        <v>43.3</v>
      </c>
      <c r="L379" s="14">
        <f>sales_data[[#This Row],[Profit]]/sales_data[[#This Row],[Sales]]</f>
        <v>0.3615866388308977</v>
      </c>
      <c r="M379" t="s">
        <v>35</v>
      </c>
      <c r="N379" t="s">
        <v>36</v>
      </c>
    </row>
    <row r="380" spans="1:14" x14ac:dyDescent="0.25">
      <c r="A380" t="s">
        <v>656</v>
      </c>
      <c r="B380" s="1">
        <v>45689</v>
      </c>
      <c r="C380" t="s">
        <v>69</v>
      </c>
      <c r="D380" t="s">
        <v>70</v>
      </c>
      <c r="E380" t="s">
        <v>44</v>
      </c>
      <c r="F380" t="s">
        <v>45</v>
      </c>
      <c r="G380">
        <v>4</v>
      </c>
      <c r="H380">
        <v>287.52</v>
      </c>
      <c r="I380">
        <v>1150.08</v>
      </c>
      <c r="J380">
        <v>0</v>
      </c>
      <c r="K380">
        <v>327.58</v>
      </c>
      <c r="L380" s="14">
        <f>sales_data[[#This Row],[Profit]]/sales_data[[#This Row],[Sales]]</f>
        <v>0.28483235948803565</v>
      </c>
      <c r="M380" t="s">
        <v>25</v>
      </c>
      <c r="N380" t="s">
        <v>47</v>
      </c>
    </row>
    <row r="381" spans="1:14" x14ac:dyDescent="0.25">
      <c r="A381" t="s">
        <v>657</v>
      </c>
      <c r="B381" s="1">
        <v>45846</v>
      </c>
      <c r="C381" t="s">
        <v>439</v>
      </c>
      <c r="D381" t="s">
        <v>440</v>
      </c>
      <c r="E381" t="s">
        <v>23</v>
      </c>
      <c r="F381" t="s">
        <v>29</v>
      </c>
      <c r="G381">
        <v>4</v>
      </c>
      <c r="H381">
        <v>46.04</v>
      </c>
      <c r="I381">
        <v>174.95</v>
      </c>
      <c r="J381">
        <v>0.05</v>
      </c>
      <c r="K381">
        <v>73.27</v>
      </c>
      <c r="L381" s="14">
        <f>sales_data[[#This Row],[Profit]]/sales_data[[#This Row],[Sales]]</f>
        <v>0.4188053729637039</v>
      </c>
      <c r="M381" t="s">
        <v>35</v>
      </c>
      <c r="N381" t="s">
        <v>36</v>
      </c>
    </row>
    <row r="382" spans="1:14" x14ac:dyDescent="0.25">
      <c r="A382" t="s">
        <v>658</v>
      </c>
      <c r="B382" s="1">
        <v>45850</v>
      </c>
      <c r="C382" t="s">
        <v>399</v>
      </c>
      <c r="D382" t="s">
        <v>400</v>
      </c>
      <c r="E382" t="s">
        <v>44</v>
      </c>
      <c r="F382" t="s">
        <v>51</v>
      </c>
      <c r="G382">
        <v>3</v>
      </c>
      <c r="H382">
        <v>353.12</v>
      </c>
      <c r="I382">
        <v>1059.3599999999999</v>
      </c>
      <c r="J382">
        <v>0</v>
      </c>
      <c r="K382">
        <v>297.83999999999997</v>
      </c>
      <c r="L382" s="14">
        <f>sales_data[[#This Row],[Profit]]/sales_data[[#This Row],[Sales]]</f>
        <v>0.28115088355233347</v>
      </c>
      <c r="M382" t="s">
        <v>46</v>
      </c>
      <c r="N382" t="s">
        <v>58</v>
      </c>
    </row>
    <row r="383" spans="1:14" x14ac:dyDescent="0.25">
      <c r="A383" t="s">
        <v>659</v>
      </c>
      <c r="B383" s="1">
        <v>45700</v>
      </c>
      <c r="C383" t="s">
        <v>289</v>
      </c>
      <c r="D383" t="s">
        <v>290</v>
      </c>
      <c r="E383" t="s">
        <v>78</v>
      </c>
      <c r="F383" t="s">
        <v>106</v>
      </c>
      <c r="G383">
        <v>1</v>
      </c>
      <c r="H383">
        <v>35.049999999999997</v>
      </c>
      <c r="I383">
        <v>33.299999999999997</v>
      </c>
      <c r="J383">
        <v>0.05</v>
      </c>
      <c r="K383">
        <v>12.7</v>
      </c>
      <c r="L383" s="14">
        <f>sales_data[[#This Row],[Profit]]/sales_data[[#This Row],[Sales]]</f>
        <v>0.38138138138138139</v>
      </c>
      <c r="M383" t="s">
        <v>25</v>
      </c>
      <c r="N383" t="s">
        <v>58</v>
      </c>
    </row>
    <row r="384" spans="1:14" x14ac:dyDescent="0.25">
      <c r="A384" t="s">
        <v>660</v>
      </c>
      <c r="B384" s="1">
        <v>45771</v>
      </c>
      <c r="C384" t="s">
        <v>98</v>
      </c>
      <c r="D384" t="s">
        <v>99</v>
      </c>
      <c r="E384" t="s">
        <v>44</v>
      </c>
      <c r="F384" t="s">
        <v>127</v>
      </c>
      <c r="G384">
        <v>7</v>
      </c>
      <c r="H384">
        <v>637.08000000000004</v>
      </c>
      <c r="I384">
        <v>4459.5600000000004</v>
      </c>
      <c r="J384">
        <v>0</v>
      </c>
      <c r="K384">
        <v>1292.29</v>
      </c>
      <c r="L384" s="14">
        <f>sales_data[[#This Row],[Profit]]/sales_data[[#This Row],[Sales]]</f>
        <v>0.28977970920898022</v>
      </c>
      <c r="M384" t="s">
        <v>25</v>
      </c>
      <c r="N384" t="s">
        <v>36</v>
      </c>
    </row>
    <row r="385" spans="1:14" x14ac:dyDescent="0.25">
      <c r="A385" t="s">
        <v>661</v>
      </c>
      <c r="B385" s="1">
        <v>45988</v>
      </c>
      <c r="C385" t="s">
        <v>60</v>
      </c>
      <c r="D385" t="s">
        <v>61</v>
      </c>
      <c r="E385" t="s">
        <v>44</v>
      </c>
      <c r="F385" t="s">
        <v>51</v>
      </c>
      <c r="G385">
        <v>3</v>
      </c>
      <c r="H385">
        <v>305.81</v>
      </c>
      <c r="I385">
        <v>779.82</v>
      </c>
      <c r="J385">
        <v>0.15</v>
      </c>
      <c r="K385">
        <v>231.67</v>
      </c>
      <c r="L385" s="14">
        <f>sales_data[[#This Row],[Profit]]/sales_data[[#This Row],[Sales]]</f>
        <v>0.29708137775384058</v>
      </c>
      <c r="M385" t="s">
        <v>25</v>
      </c>
      <c r="N385" t="s">
        <v>19</v>
      </c>
    </row>
    <row r="386" spans="1:14" x14ac:dyDescent="0.25">
      <c r="A386" t="s">
        <v>662</v>
      </c>
      <c r="B386" s="1">
        <v>45690</v>
      </c>
      <c r="C386" t="s">
        <v>335</v>
      </c>
      <c r="D386" t="s">
        <v>336</v>
      </c>
      <c r="E386" t="s">
        <v>16</v>
      </c>
      <c r="F386" t="s">
        <v>34</v>
      </c>
      <c r="G386">
        <v>2</v>
      </c>
      <c r="H386">
        <v>533.5</v>
      </c>
      <c r="I386">
        <v>960.3</v>
      </c>
      <c r="J386">
        <v>0.1</v>
      </c>
      <c r="K386">
        <v>192.09</v>
      </c>
      <c r="L386" s="14">
        <f>sales_data[[#This Row],[Profit]]/sales_data[[#This Row],[Sales]]</f>
        <v>0.20003124023742583</v>
      </c>
      <c r="M386" t="s">
        <v>46</v>
      </c>
      <c r="N386" t="s">
        <v>30</v>
      </c>
    </row>
    <row r="387" spans="1:14" x14ac:dyDescent="0.25">
      <c r="A387" t="s">
        <v>663</v>
      </c>
      <c r="B387" s="1">
        <v>45839</v>
      </c>
      <c r="C387" t="s">
        <v>328</v>
      </c>
      <c r="D387" t="s">
        <v>329</v>
      </c>
      <c r="E387" t="s">
        <v>78</v>
      </c>
      <c r="F387" t="s">
        <v>79</v>
      </c>
      <c r="G387">
        <v>7</v>
      </c>
      <c r="H387">
        <v>27.98</v>
      </c>
      <c r="I387">
        <v>176.27</v>
      </c>
      <c r="J387">
        <v>0.1</v>
      </c>
      <c r="K387">
        <v>64.59</v>
      </c>
      <c r="L387" s="14">
        <f>sales_data[[#This Row],[Profit]]/sales_data[[#This Row],[Sales]]</f>
        <v>0.36642650479378225</v>
      </c>
      <c r="M387" t="s">
        <v>35</v>
      </c>
      <c r="N387" t="s">
        <v>30</v>
      </c>
    </row>
    <row r="388" spans="1:14" x14ac:dyDescent="0.25">
      <c r="A388" t="s">
        <v>664</v>
      </c>
      <c r="B388" s="1">
        <v>45976</v>
      </c>
      <c r="C388" t="s">
        <v>289</v>
      </c>
      <c r="D388" t="s">
        <v>290</v>
      </c>
      <c r="E388" t="s">
        <v>16</v>
      </c>
      <c r="F388" t="s">
        <v>89</v>
      </c>
      <c r="G388">
        <v>1</v>
      </c>
      <c r="H388">
        <v>1176.93</v>
      </c>
      <c r="I388">
        <v>1176.93</v>
      </c>
      <c r="J388">
        <v>0</v>
      </c>
      <c r="K388">
        <v>228.84</v>
      </c>
      <c r="L388" s="14">
        <f>sales_data[[#This Row],[Profit]]/sales_data[[#This Row],[Sales]]</f>
        <v>0.19443807193291018</v>
      </c>
      <c r="M388" t="s">
        <v>35</v>
      </c>
      <c r="N388" t="s">
        <v>47</v>
      </c>
    </row>
    <row r="389" spans="1:14" x14ac:dyDescent="0.25">
      <c r="A389" t="s">
        <v>665</v>
      </c>
      <c r="B389" s="1">
        <v>45975</v>
      </c>
      <c r="C389" t="s">
        <v>386</v>
      </c>
      <c r="D389" t="s">
        <v>387</v>
      </c>
      <c r="E389" t="s">
        <v>78</v>
      </c>
      <c r="F389" t="s">
        <v>194</v>
      </c>
      <c r="G389">
        <v>5</v>
      </c>
      <c r="H389">
        <v>40.65</v>
      </c>
      <c r="I389">
        <v>182.92</v>
      </c>
      <c r="J389">
        <v>0.1</v>
      </c>
      <c r="K389">
        <v>70.22</v>
      </c>
      <c r="L389" s="14">
        <f>sales_data[[#This Row],[Profit]]/sales_data[[#This Row],[Sales]]</f>
        <v>0.38388366499015963</v>
      </c>
      <c r="M389" t="s">
        <v>35</v>
      </c>
      <c r="N389" t="s">
        <v>30</v>
      </c>
    </row>
    <row r="390" spans="1:14" x14ac:dyDescent="0.25">
      <c r="A390" t="s">
        <v>666</v>
      </c>
      <c r="B390" s="1">
        <v>45923</v>
      </c>
      <c r="C390" t="s">
        <v>125</v>
      </c>
      <c r="D390" t="s">
        <v>126</v>
      </c>
      <c r="E390" t="s">
        <v>16</v>
      </c>
      <c r="F390" t="s">
        <v>34</v>
      </c>
      <c r="G390">
        <v>1</v>
      </c>
      <c r="H390">
        <v>894.69</v>
      </c>
      <c r="I390">
        <v>805.22</v>
      </c>
      <c r="J390">
        <v>0.1</v>
      </c>
      <c r="K390">
        <v>155.82</v>
      </c>
      <c r="L390" s="14">
        <f>sales_data[[#This Row],[Profit]]/sales_data[[#This Row],[Sales]]</f>
        <v>0.1935123320334815</v>
      </c>
      <c r="M390" t="s">
        <v>46</v>
      </c>
      <c r="N390" t="s">
        <v>47</v>
      </c>
    </row>
    <row r="391" spans="1:14" x14ac:dyDescent="0.25">
      <c r="A391" t="s">
        <v>667</v>
      </c>
      <c r="B391" s="1">
        <v>45814</v>
      </c>
      <c r="C391" t="s">
        <v>212</v>
      </c>
      <c r="D391" t="s">
        <v>213</v>
      </c>
      <c r="E391" t="s">
        <v>23</v>
      </c>
      <c r="F391" t="s">
        <v>24</v>
      </c>
      <c r="G391">
        <v>6</v>
      </c>
      <c r="H391">
        <v>8.26</v>
      </c>
      <c r="I391">
        <v>47.08</v>
      </c>
      <c r="J391">
        <v>0.05</v>
      </c>
      <c r="K391">
        <v>19.73</v>
      </c>
      <c r="L391" s="14">
        <f>sales_data[[#This Row],[Profit]]/sales_data[[#This Row],[Sales]]</f>
        <v>0.41907391673746819</v>
      </c>
      <c r="M391" t="s">
        <v>18</v>
      </c>
      <c r="N391" t="s">
        <v>30</v>
      </c>
    </row>
    <row r="392" spans="1:14" x14ac:dyDescent="0.25">
      <c r="A392" t="s">
        <v>668</v>
      </c>
      <c r="B392" s="1">
        <v>45966</v>
      </c>
      <c r="C392" t="s">
        <v>222</v>
      </c>
      <c r="D392" t="s">
        <v>223</v>
      </c>
      <c r="E392" t="s">
        <v>16</v>
      </c>
      <c r="F392" t="s">
        <v>89</v>
      </c>
      <c r="G392">
        <v>6</v>
      </c>
      <c r="H392">
        <v>1158.8900000000001</v>
      </c>
      <c r="I392">
        <v>6953.34</v>
      </c>
      <c r="J392">
        <v>0</v>
      </c>
      <c r="K392">
        <v>1319.18</v>
      </c>
      <c r="L392" s="14">
        <f>sales_data[[#This Row],[Profit]]/sales_data[[#This Row],[Sales]]</f>
        <v>0.18971889768082678</v>
      </c>
      <c r="M392" t="s">
        <v>35</v>
      </c>
      <c r="N392" t="s">
        <v>36</v>
      </c>
    </row>
    <row r="393" spans="1:14" x14ac:dyDescent="0.25">
      <c r="A393" t="s">
        <v>669</v>
      </c>
      <c r="B393" s="1">
        <v>45915</v>
      </c>
      <c r="C393" t="s">
        <v>283</v>
      </c>
      <c r="D393" t="s">
        <v>284</v>
      </c>
      <c r="E393" t="s">
        <v>44</v>
      </c>
      <c r="F393" t="s">
        <v>127</v>
      </c>
      <c r="G393">
        <v>4</v>
      </c>
      <c r="H393">
        <v>664.31</v>
      </c>
      <c r="I393">
        <v>2657.24</v>
      </c>
      <c r="J393">
        <v>0</v>
      </c>
      <c r="K393">
        <v>811.4</v>
      </c>
      <c r="L393" s="14">
        <f>sales_data[[#This Row],[Profit]]/sales_data[[#This Row],[Sales]]</f>
        <v>0.30535442790263584</v>
      </c>
      <c r="M393" t="s">
        <v>18</v>
      </c>
      <c r="N393" t="s">
        <v>58</v>
      </c>
    </row>
    <row r="394" spans="1:14" x14ac:dyDescent="0.25">
      <c r="A394" t="s">
        <v>670</v>
      </c>
      <c r="B394" s="1">
        <v>45905</v>
      </c>
      <c r="C394" t="s">
        <v>390</v>
      </c>
      <c r="D394" t="s">
        <v>391</v>
      </c>
      <c r="E394" t="s">
        <v>23</v>
      </c>
      <c r="F394" t="s">
        <v>196</v>
      </c>
      <c r="G394">
        <v>4</v>
      </c>
      <c r="H394">
        <v>56.99</v>
      </c>
      <c r="I394">
        <v>205.16</v>
      </c>
      <c r="J394">
        <v>0.1</v>
      </c>
      <c r="K394">
        <v>87.76</v>
      </c>
      <c r="L394" s="14">
        <f>sales_data[[#This Row],[Profit]]/sales_data[[#This Row],[Sales]]</f>
        <v>0.42776369662702285</v>
      </c>
      <c r="M394" t="s">
        <v>35</v>
      </c>
      <c r="N394" t="s">
        <v>19</v>
      </c>
    </row>
    <row r="395" spans="1:14" x14ac:dyDescent="0.25">
      <c r="A395" t="s">
        <v>671</v>
      </c>
      <c r="B395" s="1">
        <v>45794</v>
      </c>
      <c r="C395" t="s">
        <v>174</v>
      </c>
      <c r="D395" t="s">
        <v>175</v>
      </c>
      <c r="E395" t="s">
        <v>23</v>
      </c>
      <c r="F395" t="s">
        <v>117</v>
      </c>
      <c r="G395">
        <v>3</v>
      </c>
      <c r="H395">
        <v>76.73</v>
      </c>
      <c r="I395">
        <v>218.68</v>
      </c>
      <c r="J395">
        <v>0.05</v>
      </c>
      <c r="K395">
        <v>90.71</v>
      </c>
      <c r="L395" s="14">
        <f>sales_data[[#This Row],[Profit]]/sales_data[[#This Row],[Sales]]</f>
        <v>0.41480702396195351</v>
      </c>
      <c r="M395" t="s">
        <v>46</v>
      </c>
      <c r="N395" t="s">
        <v>36</v>
      </c>
    </row>
    <row r="396" spans="1:14" x14ac:dyDescent="0.25">
      <c r="A396" t="s">
        <v>672</v>
      </c>
      <c r="B396" s="1">
        <v>45711</v>
      </c>
      <c r="C396" t="s">
        <v>139</v>
      </c>
      <c r="D396" t="s">
        <v>140</v>
      </c>
      <c r="E396" t="s">
        <v>44</v>
      </c>
      <c r="F396" t="s">
        <v>127</v>
      </c>
      <c r="G396">
        <v>3</v>
      </c>
      <c r="H396">
        <v>626.34</v>
      </c>
      <c r="I396">
        <v>1879.02</v>
      </c>
      <c r="J396">
        <v>0</v>
      </c>
      <c r="K396">
        <v>536.99</v>
      </c>
      <c r="L396" s="14">
        <f>sales_data[[#This Row],[Profit]]/sales_data[[#This Row],[Sales]]</f>
        <v>0.28578195016551183</v>
      </c>
      <c r="M396" t="s">
        <v>18</v>
      </c>
      <c r="N396" t="s">
        <v>30</v>
      </c>
    </row>
    <row r="397" spans="1:14" x14ac:dyDescent="0.25">
      <c r="A397" t="s">
        <v>673</v>
      </c>
      <c r="B397" s="1">
        <v>45905</v>
      </c>
      <c r="C397" t="s">
        <v>91</v>
      </c>
      <c r="D397" t="s">
        <v>92</v>
      </c>
      <c r="E397" t="s">
        <v>44</v>
      </c>
      <c r="F397" t="s">
        <v>110</v>
      </c>
      <c r="G397">
        <v>1</v>
      </c>
      <c r="H397">
        <v>396.41</v>
      </c>
      <c r="I397">
        <v>356.77</v>
      </c>
      <c r="J397">
        <v>0.1</v>
      </c>
      <c r="K397">
        <v>103.1</v>
      </c>
      <c r="L397" s="14">
        <f>sales_data[[#This Row],[Profit]]/sales_data[[#This Row],[Sales]]</f>
        <v>0.28898169689155478</v>
      </c>
      <c r="M397" t="s">
        <v>35</v>
      </c>
      <c r="N397" t="s">
        <v>36</v>
      </c>
    </row>
    <row r="398" spans="1:14" x14ac:dyDescent="0.25">
      <c r="A398" t="s">
        <v>674</v>
      </c>
      <c r="B398" s="1">
        <v>45704</v>
      </c>
      <c r="C398" t="s">
        <v>152</v>
      </c>
      <c r="D398" t="s">
        <v>153</v>
      </c>
      <c r="E398" t="s">
        <v>78</v>
      </c>
      <c r="F398" t="s">
        <v>79</v>
      </c>
      <c r="G398">
        <v>1</v>
      </c>
      <c r="H398">
        <v>44.88</v>
      </c>
      <c r="I398">
        <v>44.88</v>
      </c>
      <c r="J398">
        <v>0</v>
      </c>
      <c r="K398">
        <v>17.170000000000002</v>
      </c>
      <c r="L398" s="14">
        <f>sales_data[[#This Row],[Profit]]/sales_data[[#This Row],[Sales]]</f>
        <v>0.38257575757575757</v>
      </c>
      <c r="M398" t="s">
        <v>25</v>
      </c>
      <c r="N398" t="s">
        <v>58</v>
      </c>
    </row>
    <row r="399" spans="1:14" x14ac:dyDescent="0.25">
      <c r="A399" t="s">
        <v>675</v>
      </c>
      <c r="B399" s="1">
        <v>45975</v>
      </c>
      <c r="C399" t="s">
        <v>143</v>
      </c>
      <c r="D399" t="s">
        <v>144</v>
      </c>
      <c r="E399" t="s">
        <v>44</v>
      </c>
      <c r="F399" t="s">
        <v>127</v>
      </c>
      <c r="G399">
        <v>1</v>
      </c>
      <c r="H399">
        <v>480.82</v>
      </c>
      <c r="I399">
        <v>480.82</v>
      </c>
      <c r="J399">
        <v>0</v>
      </c>
      <c r="K399">
        <v>135.33000000000001</v>
      </c>
      <c r="L399" s="14">
        <f>sales_data[[#This Row],[Profit]]/sales_data[[#This Row],[Sales]]</f>
        <v>0.28145667817478476</v>
      </c>
      <c r="M399" t="s">
        <v>46</v>
      </c>
      <c r="N399" t="s">
        <v>47</v>
      </c>
    </row>
    <row r="400" spans="1:14" x14ac:dyDescent="0.25">
      <c r="A400" t="s">
        <v>676</v>
      </c>
      <c r="B400" s="1">
        <v>45821</v>
      </c>
      <c r="C400" t="s">
        <v>323</v>
      </c>
      <c r="D400" t="s">
        <v>324</v>
      </c>
      <c r="E400" t="s">
        <v>78</v>
      </c>
      <c r="F400" t="s">
        <v>106</v>
      </c>
      <c r="G400">
        <v>7</v>
      </c>
      <c r="H400">
        <v>101.61</v>
      </c>
      <c r="I400">
        <v>711.27</v>
      </c>
      <c r="J400">
        <v>0</v>
      </c>
      <c r="K400">
        <v>264.23</v>
      </c>
      <c r="L400" s="14">
        <f>sales_data[[#This Row],[Profit]]/sales_data[[#This Row],[Sales]]</f>
        <v>0.37149043260646453</v>
      </c>
      <c r="M400" t="s">
        <v>35</v>
      </c>
      <c r="N400" t="s">
        <v>58</v>
      </c>
    </row>
    <row r="401" spans="1:14" x14ac:dyDescent="0.25">
      <c r="A401" t="s">
        <v>677</v>
      </c>
      <c r="B401" s="1">
        <v>45866</v>
      </c>
      <c r="C401" t="s">
        <v>462</v>
      </c>
      <c r="D401" t="s">
        <v>463</v>
      </c>
      <c r="E401" t="s">
        <v>44</v>
      </c>
      <c r="F401" t="s">
        <v>127</v>
      </c>
      <c r="G401">
        <v>5</v>
      </c>
      <c r="H401">
        <v>421.58</v>
      </c>
      <c r="I401">
        <v>2002.5</v>
      </c>
      <c r="J401">
        <v>0.05</v>
      </c>
      <c r="K401">
        <v>604.62</v>
      </c>
      <c r="L401" s="14">
        <f>sales_data[[#This Row],[Profit]]/sales_data[[#This Row],[Sales]]</f>
        <v>0.30193258426966291</v>
      </c>
      <c r="M401" t="s">
        <v>25</v>
      </c>
      <c r="N401" t="s">
        <v>36</v>
      </c>
    </row>
    <row r="402" spans="1:14" x14ac:dyDescent="0.25">
      <c r="A402" t="s">
        <v>678</v>
      </c>
      <c r="B402" s="1">
        <v>45995</v>
      </c>
      <c r="C402" t="s">
        <v>679</v>
      </c>
      <c r="D402" t="s">
        <v>680</v>
      </c>
      <c r="E402" t="s">
        <v>78</v>
      </c>
      <c r="F402" t="s">
        <v>255</v>
      </c>
      <c r="G402">
        <v>3</v>
      </c>
      <c r="H402">
        <v>86.15</v>
      </c>
      <c r="I402">
        <v>232.6</v>
      </c>
      <c r="J402">
        <v>0.1</v>
      </c>
      <c r="K402">
        <v>88.98</v>
      </c>
      <c r="L402" s="14">
        <f>sales_data[[#This Row],[Profit]]/sales_data[[#This Row],[Sales]]</f>
        <v>0.38254514187446265</v>
      </c>
      <c r="M402" t="s">
        <v>25</v>
      </c>
      <c r="N402" t="s">
        <v>47</v>
      </c>
    </row>
    <row r="403" spans="1:14" x14ac:dyDescent="0.25">
      <c r="A403" t="s">
        <v>681</v>
      </c>
      <c r="B403" s="1">
        <v>45909</v>
      </c>
      <c r="C403" t="s">
        <v>14</v>
      </c>
      <c r="D403" t="s">
        <v>15</v>
      </c>
      <c r="E403" t="s">
        <v>44</v>
      </c>
      <c r="F403" t="s">
        <v>96</v>
      </c>
      <c r="G403">
        <v>5</v>
      </c>
      <c r="H403">
        <v>555.27</v>
      </c>
      <c r="I403">
        <v>2637.53</v>
      </c>
      <c r="J403">
        <v>0.05</v>
      </c>
      <c r="K403">
        <v>778.07</v>
      </c>
      <c r="L403" s="14">
        <f>sales_data[[#This Row],[Profit]]/sales_data[[#This Row],[Sales]]</f>
        <v>0.29499948815748067</v>
      </c>
      <c r="M403" t="s">
        <v>25</v>
      </c>
      <c r="N403" t="s">
        <v>58</v>
      </c>
    </row>
    <row r="404" spans="1:14" x14ac:dyDescent="0.25">
      <c r="A404" t="s">
        <v>682</v>
      </c>
      <c r="B404" s="1">
        <v>45917</v>
      </c>
      <c r="C404" t="s">
        <v>73</v>
      </c>
      <c r="D404" t="s">
        <v>74</v>
      </c>
      <c r="E404" t="s">
        <v>23</v>
      </c>
      <c r="F404" t="s">
        <v>196</v>
      </c>
      <c r="G404">
        <v>7</v>
      </c>
      <c r="H404">
        <v>7.33</v>
      </c>
      <c r="I404">
        <v>48.74</v>
      </c>
      <c r="J404">
        <v>0.05</v>
      </c>
      <c r="K404">
        <v>20.09</v>
      </c>
      <c r="L404" s="14">
        <f>sales_data[[#This Row],[Profit]]/sales_data[[#This Row],[Sales]]</f>
        <v>0.41218711530570373</v>
      </c>
      <c r="M404" t="s">
        <v>18</v>
      </c>
      <c r="N404" t="s">
        <v>36</v>
      </c>
    </row>
    <row r="405" spans="1:14" x14ac:dyDescent="0.25">
      <c r="A405" t="s">
        <v>683</v>
      </c>
      <c r="B405" s="1">
        <v>45778</v>
      </c>
      <c r="C405" t="s">
        <v>108</v>
      </c>
      <c r="D405" t="s">
        <v>109</v>
      </c>
      <c r="E405" t="s">
        <v>23</v>
      </c>
      <c r="F405" t="s">
        <v>29</v>
      </c>
      <c r="G405">
        <v>6</v>
      </c>
      <c r="H405">
        <v>15.28</v>
      </c>
      <c r="I405">
        <v>91.68</v>
      </c>
      <c r="J405">
        <v>0</v>
      </c>
      <c r="K405">
        <v>40.15</v>
      </c>
      <c r="L405" s="14">
        <f>sales_data[[#This Row],[Profit]]/sales_data[[#This Row],[Sales]]</f>
        <v>0.43793630017452001</v>
      </c>
      <c r="M405" t="s">
        <v>46</v>
      </c>
      <c r="N405" t="s">
        <v>30</v>
      </c>
    </row>
    <row r="406" spans="1:14" x14ac:dyDescent="0.25">
      <c r="A406" t="s">
        <v>684</v>
      </c>
      <c r="B406" s="1">
        <v>45766</v>
      </c>
      <c r="C406" t="s">
        <v>42</v>
      </c>
      <c r="D406" t="s">
        <v>43</v>
      </c>
      <c r="E406" t="s">
        <v>23</v>
      </c>
      <c r="F406" t="s">
        <v>24</v>
      </c>
      <c r="G406">
        <v>4</v>
      </c>
      <c r="H406">
        <v>37.36</v>
      </c>
      <c r="I406">
        <v>127.02</v>
      </c>
      <c r="J406">
        <v>0.15</v>
      </c>
      <c r="K406">
        <v>55.86</v>
      </c>
      <c r="L406" s="14">
        <f>sales_data[[#This Row],[Profit]]/sales_data[[#This Row],[Sales]]</f>
        <v>0.43977326405290507</v>
      </c>
      <c r="M406" t="s">
        <v>25</v>
      </c>
      <c r="N406" t="s">
        <v>30</v>
      </c>
    </row>
    <row r="407" spans="1:14" x14ac:dyDescent="0.25">
      <c r="A407" t="s">
        <v>685</v>
      </c>
      <c r="B407" s="1">
        <v>45680</v>
      </c>
      <c r="C407" t="s">
        <v>115</v>
      </c>
      <c r="D407" t="s">
        <v>116</v>
      </c>
      <c r="E407" t="s">
        <v>44</v>
      </c>
      <c r="F407" t="s">
        <v>96</v>
      </c>
      <c r="G407">
        <v>5</v>
      </c>
      <c r="H407">
        <v>527.5</v>
      </c>
      <c r="I407">
        <v>2637.5</v>
      </c>
      <c r="J407">
        <v>0</v>
      </c>
      <c r="K407">
        <v>748.58</v>
      </c>
      <c r="L407" s="14">
        <f>sales_data[[#This Row],[Profit]]/sales_data[[#This Row],[Sales]]</f>
        <v>0.2838218009478673</v>
      </c>
      <c r="M407" t="s">
        <v>35</v>
      </c>
      <c r="N407" t="s">
        <v>19</v>
      </c>
    </row>
    <row r="408" spans="1:14" x14ac:dyDescent="0.25">
      <c r="A408" t="s">
        <v>686</v>
      </c>
      <c r="B408" s="1">
        <v>45834</v>
      </c>
      <c r="C408" t="s">
        <v>643</v>
      </c>
      <c r="D408" t="s">
        <v>644</v>
      </c>
      <c r="E408" t="s">
        <v>16</v>
      </c>
      <c r="F408" t="s">
        <v>89</v>
      </c>
      <c r="G408">
        <v>2</v>
      </c>
      <c r="H408">
        <v>1130.82</v>
      </c>
      <c r="I408">
        <v>1922.39</v>
      </c>
      <c r="J408">
        <v>0.15</v>
      </c>
      <c r="K408">
        <v>397.79</v>
      </c>
      <c r="L408" s="14">
        <f>sales_data[[#This Row],[Profit]]/sales_data[[#This Row],[Sales]]</f>
        <v>0.20692471350766495</v>
      </c>
      <c r="M408" t="s">
        <v>35</v>
      </c>
      <c r="N408" t="s">
        <v>58</v>
      </c>
    </row>
    <row r="409" spans="1:14" x14ac:dyDescent="0.25">
      <c r="A409" t="s">
        <v>687</v>
      </c>
      <c r="B409" s="1">
        <v>45775</v>
      </c>
      <c r="C409" t="s">
        <v>60</v>
      </c>
      <c r="D409" t="s">
        <v>61</v>
      </c>
      <c r="E409" t="s">
        <v>78</v>
      </c>
      <c r="F409" t="s">
        <v>255</v>
      </c>
      <c r="G409">
        <v>2</v>
      </c>
      <c r="H409">
        <v>160.11000000000001</v>
      </c>
      <c r="I409">
        <v>304.20999999999998</v>
      </c>
      <c r="J409">
        <v>0.05</v>
      </c>
      <c r="K409">
        <v>114.43</v>
      </c>
      <c r="L409" s="14">
        <f>sales_data[[#This Row],[Profit]]/sales_data[[#This Row],[Sales]]</f>
        <v>0.37615463002531152</v>
      </c>
      <c r="M409" t="s">
        <v>46</v>
      </c>
      <c r="N409" t="s">
        <v>36</v>
      </c>
    </row>
    <row r="410" spans="1:14" x14ac:dyDescent="0.25">
      <c r="A410" t="s">
        <v>688</v>
      </c>
      <c r="B410" s="1">
        <v>45942</v>
      </c>
      <c r="C410" t="s">
        <v>212</v>
      </c>
      <c r="D410" t="s">
        <v>213</v>
      </c>
      <c r="E410" t="s">
        <v>16</v>
      </c>
      <c r="F410" t="s">
        <v>71</v>
      </c>
      <c r="G410">
        <v>5</v>
      </c>
      <c r="H410">
        <v>508.03</v>
      </c>
      <c r="I410">
        <v>2286.14</v>
      </c>
      <c r="J410">
        <v>0.1</v>
      </c>
      <c r="K410">
        <v>453.7</v>
      </c>
      <c r="L410" s="14">
        <f>sales_data[[#This Row],[Profit]]/sales_data[[#This Row],[Sales]]</f>
        <v>0.19845678742334241</v>
      </c>
      <c r="M410" t="s">
        <v>25</v>
      </c>
      <c r="N410" t="s">
        <v>19</v>
      </c>
    </row>
    <row r="411" spans="1:14" x14ac:dyDescent="0.25">
      <c r="A411" t="s">
        <v>689</v>
      </c>
      <c r="B411" s="1">
        <v>45791</v>
      </c>
      <c r="C411" t="s">
        <v>27</v>
      </c>
      <c r="D411" t="s">
        <v>28</v>
      </c>
      <c r="E411" t="s">
        <v>16</v>
      </c>
      <c r="F411" t="s">
        <v>17</v>
      </c>
      <c r="G411">
        <v>2</v>
      </c>
      <c r="H411">
        <v>373.72</v>
      </c>
      <c r="I411">
        <v>710.07</v>
      </c>
      <c r="J411">
        <v>0.05</v>
      </c>
      <c r="K411">
        <v>141.76</v>
      </c>
      <c r="L411" s="14">
        <f>sales_data[[#This Row],[Profit]]/sales_data[[#This Row],[Sales]]</f>
        <v>0.1996422887884293</v>
      </c>
      <c r="M411" t="s">
        <v>46</v>
      </c>
      <c r="N411" t="s">
        <v>58</v>
      </c>
    </row>
    <row r="412" spans="1:14" x14ac:dyDescent="0.25">
      <c r="A412" t="s">
        <v>690</v>
      </c>
      <c r="B412" s="1">
        <v>45779</v>
      </c>
      <c r="C412" t="s">
        <v>161</v>
      </c>
      <c r="D412" t="s">
        <v>162</v>
      </c>
      <c r="E412" t="s">
        <v>23</v>
      </c>
      <c r="F412" t="s">
        <v>24</v>
      </c>
      <c r="G412">
        <v>7</v>
      </c>
      <c r="H412">
        <v>11.11</v>
      </c>
      <c r="I412">
        <v>77.77</v>
      </c>
      <c r="J412">
        <v>0</v>
      </c>
      <c r="K412">
        <v>33.01</v>
      </c>
      <c r="L412" s="14">
        <f>sales_data[[#This Row],[Profit]]/sales_data[[#This Row],[Sales]]</f>
        <v>0.42445673138742446</v>
      </c>
      <c r="M412" t="s">
        <v>25</v>
      </c>
      <c r="N412" t="s">
        <v>58</v>
      </c>
    </row>
    <row r="413" spans="1:14" x14ac:dyDescent="0.25">
      <c r="A413" t="s">
        <v>691</v>
      </c>
      <c r="B413" s="1">
        <v>45775</v>
      </c>
      <c r="C413" t="s">
        <v>370</v>
      </c>
      <c r="D413" t="s">
        <v>371</v>
      </c>
      <c r="E413" t="s">
        <v>16</v>
      </c>
      <c r="F413" t="s">
        <v>34</v>
      </c>
      <c r="G413">
        <v>6</v>
      </c>
      <c r="H413">
        <v>1152.8399999999999</v>
      </c>
      <c r="I413">
        <v>6225.34</v>
      </c>
      <c r="J413">
        <v>0.1</v>
      </c>
      <c r="K413">
        <v>1203.32</v>
      </c>
      <c r="L413" s="14">
        <f>sales_data[[#This Row],[Profit]]/sales_data[[#This Row],[Sales]]</f>
        <v>0.19329386025502221</v>
      </c>
      <c r="M413" t="s">
        <v>18</v>
      </c>
      <c r="N413" t="s">
        <v>36</v>
      </c>
    </row>
    <row r="414" spans="1:14" x14ac:dyDescent="0.25">
      <c r="A414" t="s">
        <v>692</v>
      </c>
      <c r="B414" s="1">
        <v>45852</v>
      </c>
      <c r="C414" t="s">
        <v>289</v>
      </c>
      <c r="D414" t="s">
        <v>290</v>
      </c>
      <c r="E414" t="s">
        <v>44</v>
      </c>
      <c r="F414" t="s">
        <v>127</v>
      </c>
      <c r="G414">
        <v>7</v>
      </c>
      <c r="H414">
        <v>534.91</v>
      </c>
      <c r="I414">
        <v>3744.37</v>
      </c>
      <c r="J414">
        <v>0</v>
      </c>
      <c r="K414">
        <v>1123.96</v>
      </c>
      <c r="L414" s="14">
        <f>sales_data[[#This Row],[Profit]]/sales_data[[#This Row],[Sales]]</f>
        <v>0.30017332688810133</v>
      </c>
      <c r="M414" t="s">
        <v>35</v>
      </c>
      <c r="N414" t="s">
        <v>36</v>
      </c>
    </row>
    <row r="415" spans="1:14" x14ac:dyDescent="0.25">
      <c r="A415" t="s">
        <v>693</v>
      </c>
      <c r="B415" s="1">
        <v>45705</v>
      </c>
      <c r="C415" t="s">
        <v>459</v>
      </c>
      <c r="D415" t="s">
        <v>460</v>
      </c>
      <c r="E415" t="s">
        <v>23</v>
      </c>
      <c r="F415" t="s">
        <v>196</v>
      </c>
      <c r="G415">
        <v>5</v>
      </c>
      <c r="H415">
        <v>12.02</v>
      </c>
      <c r="I415">
        <v>57.1</v>
      </c>
      <c r="J415">
        <v>0.05</v>
      </c>
      <c r="K415">
        <v>24.88</v>
      </c>
      <c r="L415" s="14">
        <f>sales_data[[#This Row],[Profit]]/sales_data[[#This Row],[Sales]]</f>
        <v>0.43572679509632223</v>
      </c>
      <c r="M415" t="s">
        <v>46</v>
      </c>
      <c r="N415" t="s">
        <v>36</v>
      </c>
    </row>
    <row r="416" spans="1:14" x14ac:dyDescent="0.25">
      <c r="A416" t="s">
        <v>694</v>
      </c>
      <c r="B416" s="1">
        <v>45939</v>
      </c>
      <c r="C416" t="s">
        <v>459</v>
      </c>
      <c r="D416" t="s">
        <v>460</v>
      </c>
      <c r="E416" t="s">
        <v>16</v>
      </c>
      <c r="F416" t="s">
        <v>17</v>
      </c>
      <c r="G416">
        <v>3</v>
      </c>
      <c r="H416">
        <v>265.07</v>
      </c>
      <c r="I416">
        <v>755.45</v>
      </c>
      <c r="J416">
        <v>0.05</v>
      </c>
      <c r="K416">
        <v>149.13999999999999</v>
      </c>
      <c r="L416" s="14">
        <f>sales_data[[#This Row],[Profit]]/sales_data[[#This Row],[Sales]]</f>
        <v>0.19741875703223241</v>
      </c>
      <c r="M416" t="s">
        <v>35</v>
      </c>
      <c r="N416" t="s">
        <v>36</v>
      </c>
    </row>
    <row r="417" spans="1:14" x14ac:dyDescent="0.25">
      <c r="A417" t="s">
        <v>695</v>
      </c>
      <c r="B417" s="1">
        <v>45910</v>
      </c>
      <c r="C417" t="s">
        <v>216</v>
      </c>
      <c r="D417" t="s">
        <v>217</v>
      </c>
      <c r="E417" t="s">
        <v>78</v>
      </c>
      <c r="F417" t="s">
        <v>106</v>
      </c>
      <c r="G417">
        <v>7</v>
      </c>
      <c r="H417">
        <v>160.33000000000001</v>
      </c>
      <c r="I417">
        <v>1122.31</v>
      </c>
      <c r="J417">
        <v>0</v>
      </c>
      <c r="K417">
        <v>413.64</v>
      </c>
      <c r="L417" s="14">
        <f>sales_data[[#This Row],[Profit]]/sales_data[[#This Row],[Sales]]</f>
        <v>0.368561270950094</v>
      </c>
      <c r="M417" t="s">
        <v>25</v>
      </c>
      <c r="N417" t="s">
        <v>36</v>
      </c>
    </row>
    <row r="418" spans="1:14" x14ac:dyDescent="0.25">
      <c r="A418" t="s">
        <v>696</v>
      </c>
      <c r="B418" s="1">
        <v>45777</v>
      </c>
      <c r="C418" t="s">
        <v>679</v>
      </c>
      <c r="D418" t="s">
        <v>680</v>
      </c>
      <c r="E418" t="s">
        <v>23</v>
      </c>
      <c r="F418" t="s">
        <v>117</v>
      </c>
      <c r="G418">
        <v>1</v>
      </c>
      <c r="H418">
        <v>38.81</v>
      </c>
      <c r="I418">
        <v>32.99</v>
      </c>
      <c r="J418">
        <v>0.15</v>
      </c>
      <c r="K418">
        <v>14.31</v>
      </c>
      <c r="L418" s="14">
        <f>sales_data[[#This Row],[Profit]]/sales_data[[#This Row],[Sales]]</f>
        <v>0.43376780842679596</v>
      </c>
      <c r="M418" t="s">
        <v>25</v>
      </c>
      <c r="N418" t="s">
        <v>58</v>
      </c>
    </row>
    <row r="419" spans="1:14" x14ac:dyDescent="0.25">
      <c r="A419" t="s">
        <v>697</v>
      </c>
      <c r="B419" s="1">
        <v>45996</v>
      </c>
      <c r="C419" t="s">
        <v>307</v>
      </c>
      <c r="D419" t="s">
        <v>308</v>
      </c>
      <c r="E419" t="s">
        <v>16</v>
      </c>
      <c r="F419" t="s">
        <v>17</v>
      </c>
      <c r="G419">
        <v>2</v>
      </c>
      <c r="H419">
        <v>500.37</v>
      </c>
      <c r="I419">
        <v>950.7</v>
      </c>
      <c r="J419">
        <v>0.05</v>
      </c>
      <c r="K419">
        <v>199.27</v>
      </c>
      <c r="L419" s="14">
        <f>sales_data[[#This Row],[Profit]]/sales_data[[#This Row],[Sales]]</f>
        <v>0.20960345008940781</v>
      </c>
      <c r="M419" t="s">
        <v>46</v>
      </c>
      <c r="N419" t="s">
        <v>36</v>
      </c>
    </row>
    <row r="420" spans="1:14" x14ac:dyDescent="0.25">
      <c r="A420" t="s">
        <v>698</v>
      </c>
      <c r="B420" s="1">
        <v>45705</v>
      </c>
      <c r="C420" t="s">
        <v>455</v>
      </c>
      <c r="D420" t="s">
        <v>456</v>
      </c>
      <c r="E420" t="s">
        <v>78</v>
      </c>
      <c r="F420" t="s">
        <v>106</v>
      </c>
      <c r="G420">
        <v>6</v>
      </c>
      <c r="H420">
        <v>90.43</v>
      </c>
      <c r="I420">
        <v>542.58000000000004</v>
      </c>
      <c r="J420">
        <v>0</v>
      </c>
      <c r="K420">
        <v>199.51</v>
      </c>
      <c r="L420" s="14">
        <f>sales_data[[#This Row],[Profit]]/sales_data[[#This Row],[Sales]]</f>
        <v>0.36770614471598656</v>
      </c>
      <c r="M420" t="s">
        <v>18</v>
      </c>
      <c r="N420" t="s">
        <v>30</v>
      </c>
    </row>
    <row r="421" spans="1:14" x14ac:dyDescent="0.25">
      <c r="A421" t="s">
        <v>699</v>
      </c>
      <c r="B421" s="1">
        <v>45830</v>
      </c>
      <c r="C421" t="s">
        <v>417</v>
      </c>
      <c r="D421" t="s">
        <v>418</v>
      </c>
      <c r="E421" t="s">
        <v>44</v>
      </c>
      <c r="F421" t="s">
        <v>110</v>
      </c>
      <c r="G421">
        <v>2</v>
      </c>
      <c r="H421">
        <v>373.96</v>
      </c>
      <c r="I421">
        <v>598.34</v>
      </c>
      <c r="J421">
        <v>0.2</v>
      </c>
      <c r="K421">
        <v>181.33</v>
      </c>
      <c r="L421" s="14">
        <f>sales_data[[#This Row],[Profit]]/sales_data[[#This Row],[Sales]]</f>
        <v>0.30305511916301769</v>
      </c>
      <c r="M421" t="s">
        <v>35</v>
      </c>
      <c r="N421" t="s">
        <v>58</v>
      </c>
    </row>
    <row r="422" spans="1:14" x14ac:dyDescent="0.25">
      <c r="A422" t="s">
        <v>700</v>
      </c>
      <c r="B422" s="1">
        <v>45996</v>
      </c>
      <c r="C422" t="s">
        <v>216</v>
      </c>
      <c r="D422" t="s">
        <v>217</v>
      </c>
      <c r="E422" t="s">
        <v>16</v>
      </c>
      <c r="F422" t="s">
        <v>34</v>
      </c>
      <c r="G422">
        <v>6</v>
      </c>
      <c r="H422">
        <v>881.85</v>
      </c>
      <c r="I422">
        <v>4761.99</v>
      </c>
      <c r="J422">
        <v>0.1</v>
      </c>
      <c r="K422">
        <v>899.07</v>
      </c>
      <c r="L422" s="14">
        <f>sales_data[[#This Row],[Profit]]/sales_data[[#This Row],[Sales]]</f>
        <v>0.18880132045636386</v>
      </c>
      <c r="M422" t="s">
        <v>25</v>
      </c>
      <c r="N422" t="s">
        <v>58</v>
      </c>
    </row>
    <row r="423" spans="1:14" x14ac:dyDescent="0.25">
      <c r="A423" t="s">
        <v>701</v>
      </c>
      <c r="B423" s="1">
        <v>45779</v>
      </c>
      <c r="C423" t="s">
        <v>183</v>
      </c>
      <c r="D423" t="s">
        <v>184</v>
      </c>
      <c r="E423" t="s">
        <v>16</v>
      </c>
      <c r="F423" t="s">
        <v>34</v>
      </c>
      <c r="G423">
        <v>3</v>
      </c>
      <c r="H423">
        <v>1116.9100000000001</v>
      </c>
      <c r="I423">
        <v>3183.19</v>
      </c>
      <c r="J423">
        <v>0.05</v>
      </c>
      <c r="K423">
        <v>589.08000000000004</v>
      </c>
      <c r="L423" s="14">
        <f>sales_data[[#This Row],[Profit]]/sales_data[[#This Row],[Sales]]</f>
        <v>0.18505964142888109</v>
      </c>
      <c r="M423" t="s">
        <v>25</v>
      </c>
      <c r="N423" t="s">
        <v>36</v>
      </c>
    </row>
    <row r="424" spans="1:14" x14ac:dyDescent="0.25">
      <c r="A424" t="s">
        <v>702</v>
      </c>
      <c r="B424" s="1">
        <v>45974</v>
      </c>
      <c r="C424" t="s">
        <v>253</v>
      </c>
      <c r="D424" t="s">
        <v>254</v>
      </c>
      <c r="E424" t="s">
        <v>16</v>
      </c>
      <c r="F424" t="s">
        <v>40</v>
      </c>
      <c r="G424">
        <v>7</v>
      </c>
      <c r="H424">
        <v>82.17</v>
      </c>
      <c r="I424">
        <v>517.66999999999996</v>
      </c>
      <c r="J424">
        <v>0.1</v>
      </c>
      <c r="K424">
        <v>102.09</v>
      </c>
      <c r="L424" s="14">
        <f>sales_data[[#This Row],[Profit]]/sales_data[[#This Row],[Sales]]</f>
        <v>0.19721057816755849</v>
      </c>
      <c r="M424" t="s">
        <v>46</v>
      </c>
      <c r="N424" t="s">
        <v>19</v>
      </c>
    </row>
    <row r="425" spans="1:14" x14ac:dyDescent="0.25">
      <c r="A425" t="s">
        <v>703</v>
      </c>
      <c r="B425" s="1">
        <v>45866</v>
      </c>
      <c r="C425" t="s">
        <v>347</v>
      </c>
      <c r="D425" t="s">
        <v>348</v>
      </c>
      <c r="E425" t="s">
        <v>44</v>
      </c>
      <c r="F425" t="s">
        <v>96</v>
      </c>
      <c r="G425">
        <v>5</v>
      </c>
      <c r="H425">
        <v>168.85</v>
      </c>
      <c r="I425">
        <v>759.82</v>
      </c>
      <c r="J425">
        <v>0.1</v>
      </c>
      <c r="K425">
        <v>226.73</v>
      </c>
      <c r="L425" s="14">
        <f>sales_data[[#This Row],[Profit]]/sales_data[[#This Row],[Sales]]</f>
        <v>0.2983996209628596</v>
      </c>
      <c r="M425" t="s">
        <v>25</v>
      </c>
      <c r="N425" t="s">
        <v>36</v>
      </c>
    </row>
    <row r="426" spans="1:14" x14ac:dyDescent="0.25">
      <c r="A426" t="s">
        <v>704</v>
      </c>
      <c r="B426" s="1">
        <v>45872</v>
      </c>
      <c r="C426" t="s">
        <v>183</v>
      </c>
      <c r="D426" t="s">
        <v>184</v>
      </c>
      <c r="E426" t="s">
        <v>16</v>
      </c>
      <c r="F426" t="s">
        <v>17</v>
      </c>
      <c r="G426">
        <v>3</v>
      </c>
      <c r="H426">
        <v>533.97</v>
      </c>
      <c r="I426">
        <v>1441.72</v>
      </c>
      <c r="J426">
        <v>0.1</v>
      </c>
      <c r="K426">
        <v>265.89</v>
      </c>
      <c r="L426" s="14">
        <f>sales_data[[#This Row],[Profit]]/sales_data[[#This Row],[Sales]]</f>
        <v>0.1844255472629914</v>
      </c>
      <c r="M426" t="s">
        <v>35</v>
      </c>
      <c r="N426" t="s">
        <v>47</v>
      </c>
    </row>
    <row r="427" spans="1:14" x14ac:dyDescent="0.25">
      <c r="A427" t="s">
        <v>705</v>
      </c>
      <c r="B427" s="1">
        <v>45926</v>
      </c>
      <c r="C427" t="s">
        <v>550</v>
      </c>
      <c r="D427" t="s">
        <v>551</v>
      </c>
      <c r="E427" t="s">
        <v>16</v>
      </c>
      <c r="F427" t="s">
        <v>17</v>
      </c>
      <c r="G427">
        <v>6</v>
      </c>
      <c r="H427">
        <v>478.8</v>
      </c>
      <c r="I427">
        <v>2585.52</v>
      </c>
      <c r="J427">
        <v>0.1</v>
      </c>
      <c r="K427">
        <v>528.58000000000004</v>
      </c>
      <c r="L427" s="14">
        <f>sales_data[[#This Row],[Profit]]/sales_data[[#This Row],[Sales]]</f>
        <v>0.20443856554967668</v>
      </c>
      <c r="M427" t="s">
        <v>35</v>
      </c>
      <c r="N427" t="s">
        <v>58</v>
      </c>
    </row>
    <row r="428" spans="1:14" x14ac:dyDescent="0.25">
      <c r="A428" t="s">
        <v>706</v>
      </c>
      <c r="B428" s="1">
        <v>45795</v>
      </c>
      <c r="C428" t="s">
        <v>63</v>
      </c>
      <c r="D428" t="s">
        <v>64</v>
      </c>
      <c r="E428" t="s">
        <v>78</v>
      </c>
      <c r="F428" t="s">
        <v>79</v>
      </c>
      <c r="G428">
        <v>3</v>
      </c>
      <c r="H428">
        <v>40.32</v>
      </c>
      <c r="I428">
        <v>120.96</v>
      </c>
      <c r="J428">
        <v>0</v>
      </c>
      <c r="K428">
        <v>44.65</v>
      </c>
      <c r="L428" s="14">
        <f>sales_data[[#This Row],[Profit]]/sales_data[[#This Row],[Sales]]</f>
        <v>0.36913029100529099</v>
      </c>
      <c r="M428" t="s">
        <v>25</v>
      </c>
      <c r="N428" t="s">
        <v>58</v>
      </c>
    </row>
    <row r="429" spans="1:14" x14ac:dyDescent="0.25">
      <c r="A429" t="s">
        <v>707</v>
      </c>
      <c r="B429" s="1">
        <v>45975</v>
      </c>
      <c r="C429" t="s">
        <v>69</v>
      </c>
      <c r="D429" t="s">
        <v>70</v>
      </c>
      <c r="E429" t="s">
        <v>78</v>
      </c>
      <c r="F429" t="s">
        <v>205</v>
      </c>
      <c r="G429">
        <v>1</v>
      </c>
      <c r="H429">
        <v>54.77</v>
      </c>
      <c r="I429">
        <v>49.29</v>
      </c>
      <c r="J429">
        <v>0.1</v>
      </c>
      <c r="K429">
        <v>18.829999999999998</v>
      </c>
      <c r="L429" s="14">
        <f>sales_data[[#This Row],[Profit]]/sales_data[[#This Row],[Sales]]</f>
        <v>0.38202475147088655</v>
      </c>
      <c r="M429" t="s">
        <v>46</v>
      </c>
      <c r="N429" t="s">
        <v>58</v>
      </c>
    </row>
    <row r="430" spans="1:14" x14ac:dyDescent="0.25">
      <c r="A430" t="s">
        <v>708</v>
      </c>
      <c r="B430" s="1">
        <v>45830</v>
      </c>
      <c r="C430" t="s">
        <v>69</v>
      </c>
      <c r="D430" t="s">
        <v>70</v>
      </c>
      <c r="E430" t="s">
        <v>23</v>
      </c>
      <c r="F430" t="s">
        <v>117</v>
      </c>
      <c r="G430">
        <v>4</v>
      </c>
      <c r="H430">
        <v>38.659999999999997</v>
      </c>
      <c r="I430">
        <v>154.63999999999999</v>
      </c>
      <c r="J430">
        <v>0</v>
      </c>
      <c r="K430">
        <v>65</v>
      </c>
      <c r="L430" s="14">
        <f>sales_data[[#This Row],[Profit]]/sales_data[[#This Row],[Sales]]</f>
        <v>0.42033109156751169</v>
      </c>
      <c r="M430" t="s">
        <v>18</v>
      </c>
      <c r="N430" t="s">
        <v>47</v>
      </c>
    </row>
    <row r="431" spans="1:14" x14ac:dyDescent="0.25">
      <c r="A431" t="s">
        <v>709</v>
      </c>
      <c r="B431" s="1">
        <v>45936</v>
      </c>
      <c r="C431" t="s">
        <v>439</v>
      </c>
      <c r="D431" t="s">
        <v>440</v>
      </c>
      <c r="E431" t="s">
        <v>23</v>
      </c>
      <c r="F431" t="s">
        <v>281</v>
      </c>
      <c r="G431">
        <v>6</v>
      </c>
      <c r="H431">
        <v>63.58</v>
      </c>
      <c r="I431">
        <v>343.33</v>
      </c>
      <c r="J431">
        <v>0.1</v>
      </c>
      <c r="K431">
        <v>143.36000000000001</v>
      </c>
      <c r="L431" s="14">
        <f>sales_data[[#This Row],[Profit]]/sales_data[[#This Row],[Sales]]</f>
        <v>0.41755745201409727</v>
      </c>
      <c r="M431" t="s">
        <v>35</v>
      </c>
      <c r="N431" t="s">
        <v>30</v>
      </c>
    </row>
    <row r="432" spans="1:14" x14ac:dyDescent="0.25">
      <c r="A432" t="s">
        <v>710</v>
      </c>
      <c r="B432" s="1">
        <v>45720</v>
      </c>
      <c r="C432" t="s">
        <v>390</v>
      </c>
      <c r="D432" t="s">
        <v>391</v>
      </c>
      <c r="E432" t="s">
        <v>16</v>
      </c>
      <c r="F432" t="s">
        <v>17</v>
      </c>
      <c r="G432">
        <v>6</v>
      </c>
      <c r="H432">
        <v>512.91</v>
      </c>
      <c r="I432">
        <v>2615.84</v>
      </c>
      <c r="J432">
        <v>0.15</v>
      </c>
      <c r="K432">
        <v>484.64</v>
      </c>
      <c r="L432" s="14">
        <f>sales_data[[#This Row],[Profit]]/sales_data[[#This Row],[Sales]]</f>
        <v>0.18527127041409258</v>
      </c>
      <c r="M432" t="s">
        <v>25</v>
      </c>
      <c r="N432" t="s">
        <v>47</v>
      </c>
    </row>
    <row r="433" spans="1:14" x14ac:dyDescent="0.25">
      <c r="A433" t="s">
        <v>711</v>
      </c>
      <c r="B433" s="1">
        <v>45713</v>
      </c>
      <c r="C433" t="s">
        <v>422</v>
      </c>
      <c r="D433" t="s">
        <v>423</v>
      </c>
      <c r="E433" t="s">
        <v>23</v>
      </c>
      <c r="F433" t="s">
        <v>117</v>
      </c>
      <c r="G433">
        <v>3</v>
      </c>
      <c r="H433">
        <v>42.59</v>
      </c>
      <c r="I433">
        <v>114.99</v>
      </c>
      <c r="J433">
        <v>0.1</v>
      </c>
      <c r="K433">
        <v>49.09</v>
      </c>
      <c r="L433" s="14">
        <f>sales_data[[#This Row],[Profit]]/sales_data[[#This Row],[Sales]]</f>
        <v>0.42690668753804684</v>
      </c>
      <c r="M433" t="s">
        <v>35</v>
      </c>
      <c r="N433" t="s">
        <v>47</v>
      </c>
    </row>
    <row r="434" spans="1:14" x14ac:dyDescent="0.25">
      <c r="A434" t="s">
        <v>712</v>
      </c>
      <c r="B434" s="1">
        <v>45839</v>
      </c>
      <c r="C434" t="s">
        <v>228</v>
      </c>
      <c r="D434" t="s">
        <v>229</v>
      </c>
      <c r="E434" t="s">
        <v>78</v>
      </c>
      <c r="F434" t="s">
        <v>106</v>
      </c>
      <c r="G434">
        <v>3</v>
      </c>
      <c r="H434">
        <v>179.81</v>
      </c>
      <c r="I434">
        <v>512.46</v>
      </c>
      <c r="J434">
        <v>0.05</v>
      </c>
      <c r="K434">
        <v>188.36</v>
      </c>
      <c r="L434" s="14">
        <f>sales_data[[#This Row],[Profit]]/sales_data[[#This Row],[Sales]]</f>
        <v>0.36756039495765525</v>
      </c>
      <c r="M434" t="s">
        <v>25</v>
      </c>
      <c r="N434" t="s">
        <v>19</v>
      </c>
    </row>
    <row r="435" spans="1:14" x14ac:dyDescent="0.25">
      <c r="A435" t="s">
        <v>713</v>
      </c>
      <c r="B435" s="1">
        <v>46004</v>
      </c>
      <c r="C435" t="s">
        <v>129</v>
      </c>
      <c r="D435" t="s">
        <v>130</v>
      </c>
      <c r="E435" t="s">
        <v>78</v>
      </c>
      <c r="F435" t="s">
        <v>194</v>
      </c>
      <c r="G435">
        <v>7</v>
      </c>
      <c r="H435">
        <v>14.94</v>
      </c>
      <c r="I435">
        <v>99.35</v>
      </c>
      <c r="J435">
        <v>0.05</v>
      </c>
      <c r="K435">
        <v>38.36</v>
      </c>
      <c r="L435" s="14">
        <f>sales_data[[#This Row],[Profit]]/sales_data[[#This Row],[Sales]]</f>
        <v>0.38610971313538001</v>
      </c>
      <c r="M435" t="s">
        <v>25</v>
      </c>
      <c r="N435" t="s">
        <v>58</v>
      </c>
    </row>
    <row r="436" spans="1:14" x14ac:dyDescent="0.25">
      <c r="A436" t="s">
        <v>714</v>
      </c>
      <c r="B436" s="1">
        <v>45961</v>
      </c>
      <c r="C436" t="s">
        <v>715</v>
      </c>
      <c r="D436" t="s">
        <v>716</v>
      </c>
      <c r="E436" t="s">
        <v>16</v>
      </c>
      <c r="F436" t="s">
        <v>34</v>
      </c>
      <c r="G436">
        <v>3</v>
      </c>
      <c r="H436">
        <v>43.5</v>
      </c>
      <c r="I436">
        <v>130.5</v>
      </c>
      <c r="J436">
        <v>0</v>
      </c>
      <c r="K436">
        <v>23.82</v>
      </c>
      <c r="L436" s="14">
        <f>sales_data[[#This Row],[Profit]]/sales_data[[#This Row],[Sales]]</f>
        <v>0.18252873563218391</v>
      </c>
      <c r="M436" t="s">
        <v>35</v>
      </c>
      <c r="N436" t="s">
        <v>30</v>
      </c>
    </row>
    <row r="437" spans="1:14" x14ac:dyDescent="0.25">
      <c r="A437" t="s">
        <v>717</v>
      </c>
      <c r="B437" s="1">
        <v>46012</v>
      </c>
      <c r="C437" t="s">
        <v>216</v>
      </c>
      <c r="D437" t="s">
        <v>217</v>
      </c>
      <c r="E437" t="s">
        <v>16</v>
      </c>
      <c r="F437" t="s">
        <v>34</v>
      </c>
      <c r="G437">
        <v>5</v>
      </c>
      <c r="H437">
        <v>1040.71</v>
      </c>
      <c r="I437">
        <v>4683.2</v>
      </c>
      <c r="J437">
        <v>0.1</v>
      </c>
      <c r="K437">
        <v>901.85</v>
      </c>
      <c r="L437" s="14">
        <f>sales_data[[#This Row],[Profit]]/sales_data[[#This Row],[Sales]]</f>
        <v>0.1925713187564059</v>
      </c>
      <c r="M437" t="s">
        <v>35</v>
      </c>
      <c r="N437" t="s">
        <v>19</v>
      </c>
    </row>
    <row r="438" spans="1:14" x14ac:dyDescent="0.25">
      <c r="A438" t="s">
        <v>718</v>
      </c>
      <c r="B438" s="1">
        <v>45731</v>
      </c>
      <c r="C438" t="s">
        <v>237</v>
      </c>
      <c r="D438" t="s">
        <v>238</v>
      </c>
      <c r="E438" t="s">
        <v>23</v>
      </c>
      <c r="F438" t="s">
        <v>24</v>
      </c>
      <c r="G438">
        <v>3</v>
      </c>
      <c r="H438">
        <v>47.57</v>
      </c>
      <c r="I438">
        <v>128.44</v>
      </c>
      <c r="J438">
        <v>0.1</v>
      </c>
      <c r="K438">
        <v>53.17</v>
      </c>
      <c r="L438" s="14">
        <f>sales_data[[#This Row],[Profit]]/sales_data[[#This Row],[Sales]]</f>
        <v>0.41396761133603238</v>
      </c>
      <c r="M438" t="s">
        <v>18</v>
      </c>
      <c r="N438" t="s">
        <v>47</v>
      </c>
    </row>
    <row r="439" spans="1:14" x14ac:dyDescent="0.25">
      <c r="A439" t="s">
        <v>719</v>
      </c>
      <c r="B439" s="1">
        <v>45848</v>
      </c>
      <c r="C439" t="s">
        <v>323</v>
      </c>
      <c r="D439" t="s">
        <v>324</v>
      </c>
      <c r="E439" t="s">
        <v>16</v>
      </c>
      <c r="F439" t="s">
        <v>17</v>
      </c>
      <c r="G439">
        <v>5</v>
      </c>
      <c r="H439">
        <v>1194.8699999999999</v>
      </c>
      <c r="I439">
        <v>4779.4799999999996</v>
      </c>
      <c r="J439">
        <v>0.2</v>
      </c>
      <c r="K439">
        <v>910.56</v>
      </c>
      <c r="L439" s="14">
        <f>sales_data[[#This Row],[Profit]]/sales_data[[#This Row],[Sales]]</f>
        <v>0.19051444927063196</v>
      </c>
      <c r="M439" t="s">
        <v>35</v>
      </c>
      <c r="N439" t="s">
        <v>47</v>
      </c>
    </row>
    <row r="440" spans="1:14" x14ac:dyDescent="0.25">
      <c r="A440" t="s">
        <v>720</v>
      </c>
      <c r="B440" s="1">
        <v>45671</v>
      </c>
      <c r="C440" t="s">
        <v>189</v>
      </c>
      <c r="D440" t="s">
        <v>190</v>
      </c>
      <c r="E440" t="s">
        <v>23</v>
      </c>
      <c r="F440" t="s">
        <v>117</v>
      </c>
      <c r="G440">
        <v>3</v>
      </c>
      <c r="H440">
        <v>67.13</v>
      </c>
      <c r="I440">
        <v>191.32</v>
      </c>
      <c r="J440">
        <v>0.05</v>
      </c>
      <c r="K440">
        <v>79.22</v>
      </c>
      <c r="L440" s="14">
        <f>sales_data[[#This Row],[Profit]]/sales_data[[#This Row],[Sales]]</f>
        <v>0.41407066694543176</v>
      </c>
      <c r="M440" t="s">
        <v>25</v>
      </c>
      <c r="N440" t="s">
        <v>58</v>
      </c>
    </row>
    <row r="441" spans="1:14" x14ac:dyDescent="0.25">
      <c r="A441" t="s">
        <v>721</v>
      </c>
      <c r="B441" s="1">
        <v>46000</v>
      </c>
      <c r="C441" t="s">
        <v>386</v>
      </c>
      <c r="D441" t="s">
        <v>387</v>
      </c>
      <c r="E441" t="s">
        <v>16</v>
      </c>
      <c r="F441" t="s">
        <v>17</v>
      </c>
      <c r="G441">
        <v>3</v>
      </c>
      <c r="H441">
        <v>844.13</v>
      </c>
      <c r="I441">
        <v>2279.15</v>
      </c>
      <c r="J441">
        <v>0.1</v>
      </c>
      <c r="K441">
        <v>459.8</v>
      </c>
      <c r="L441" s="14">
        <f>sales_data[[#This Row],[Profit]]/sales_data[[#This Row],[Sales]]</f>
        <v>0.2017418774543141</v>
      </c>
      <c r="M441" t="s">
        <v>18</v>
      </c>
      <c r="N441" t="s">
        <v>36</v>
      </c>
    </row>
    <row r="442" spans="1:14" x14ac:dyDescent="0.25">
      <c r="A442" t="s">
        <v>722</v>
      </c>
      <c r="B442" s="1">
        <v>45850</v>
      </c>
      <c r="C442" t="s">
        <v>370</v>
      </c>
      <c r="D442" t="s">
        <v>371</v>
      </c>
      <c r="E442" t="s">
        <v>23</v>
      </c>
      <c r="F442" t="s">
        <v>281</v>
      </c>
      <c r="G442">
        <v>4</v>
      </c>
      <c r="H442">
        <v>6.26</v>
      </c>
      <c r="I442">
        <v>22.54</v>
      </c>
      <c r="J442">
        <v>0.1</v>
      </c>
      <c r="K442">
        <v>9.61</v>
      </c>
      <c r="L442" s="14">
        <f>sales_data[[#This Row],[Profit]]/sales_data[[#This Row],[Sales]]</f>
        <v>0.42635314995563439</v>
      </c>
      <c r="M442" t="s">
        <v>46</v>
      </c>
      <c r="N442" t="s">
        <v>47</v>
      </c>
    </row>
    <row r="443" spans="1:14" x14ac:dyDescent="0.25">
      <c r="A443" t="s">
        <v>723</v>
      </c>
      <c r="B443" s="1">
        <v>45716</v>
      </c>
      <c r="C443" t="s">
        <v>406</v>
      </c>
      <c r="D443" t="s">
        <v>407</v>
      </c>
      <c r="E443" t="s">
        <v>16</v>
      </c>
      <c r="F443" t="s">
        <v>71</v>
      </c>
      <c r="G443">
        <v>7</v>
      </c>
      <c r="H443">
        <v>1009.83</v>
      </c>
      <c r="I443">
        <v>6008.49</v>
      </c>
      <c r="J443">
        <v>0.15</v>
      </c>
      <c r="K443">
        <v>1088.57</v>
      </c>
      <c r="L443" s="14">
        <f>sales_data[[#This Row],[Profit]]/sales_data[[#This Row],[Sales]]</f>
        <v>0.18117197498872428</v>
      </c>
      <c r="M443" t="s">
        <v>18</v>
      </c>
      <c r="N443" t="s">
        <v>30</v>
      </c>
    </row>
    <row r="444" spans="1:14" x14ac:dyDescent="0.25">
      <c r="A444" t="s">
        <v>724</v>
      </c>
      <c r="B444" s="1">
        <v>45979</v>
      </c>
      <c r="C444" t="s">
        <v>132</v>
      </c>
      <c r="D444" t="s">
        <v>133</v>
      </c>
      <c r="E444" t="s">
        <v>44</v>
      </c>
      <c r="F444" t="s">
        <v>51</v>
      </c>
      <c r="G444">
        <v>1</v>
      </c>
      <c r="H444">
        <v>215.6</v>
      </c>
      <c r="I444">
        <v>183.26</v>
      </c>
      <c r="J444">
        <v>0.15</v>
      </c>
      <c r="K444">
        <v>53.6</v>
      </c>
      <c r="L444" s="14">
        <f>sales_data[[#This Row],[Profit]]/sales_data[[#This Row],[Sales]]</f>
        <v>0.29248062861508239</v>
      </c>
      <c r="M444" t="s">
        <v>25</v>
      </c>
      <c r="N444" t="s">
        <v>30</v>
      </c>
    </row>
    <row r="445" spans="1:14" x14ac:dyDescent="0.25">
      <c r="A445" t="s">
        <v>725</v>
      </c>
      <c r="B445" s="1">
        <v>45665</v>
      </c>
      <c r="C445" t="s">
        <v>283</v>
      </c>
      <c r="D445" t="s">
        <v>284</v>
      </c>
      <c r="E445" t="s">
        <v>16</v>
      </c>
      <c r="F445" t="s">
        <v>40</v>
      </c>
      <c r="G445">
        <v>2</v>
      </c>
      <c r="H445">
        <v>124.36</v>
      </c>
      <c r="I445">
        <v>223.85</v>
      </c>
      <c r="J445">
        <v>0.1</v>
      </c>
      <c r="K445">
        <v>41.09</v>
      </c>
      <c r="L445" s="14">
        <f>sales_data[[#This Row],[Profit]]/sales_data[[#This Row],[Sales]]</f>
        <v>0.18356041992405631</v>
      </c>
      <c r="M445" t="s">
        <v>25</v>
      </c>
      <c r="N445" t="s">
        <v>58</v>
      </c>
    </row>
    <row r="446" spans="1:14" x14ac:dyDescent="0.25">
      <c r="A446" t="s">
        <v>726</v>
      </c>
      <c r="B446" s="1">
        <v>45896</v>
      </c>
      <c r="C446" t="s">
        <v>679</v>
      </c>
      <c r="D446" t="s">
        <v>680</v>
      </c>
      <c r="E446" t="s">
        <v>16</v>
      </c>
      <c r="F446" t="s">
        <v>17</v>
      </c>
      <c r="G446">
        <v>3</v>
      </c>
      <c r="H446">
        <v>891.48</v>
      </c>
      <c r="I446">
        <v>2674.44</v>
      </c>
      <c r="J446">
        <v>0</v>
      </c>
      <c r="K446">
        <v>497.23</v>
      </c>
      <c r="L446" s="14">
        <f>sales_data[[#This Row],[Profit]]/sales_data[[#This Row],[Sales]]</f>
        <v>0.18591929525433362</v>
      </c>
      <c r="M446" t="s">
        <v>18</v>
      </c>
      <c r="N446" t="s">
        <v>58</v>
      </c>
    </row>
    <row r="447" spans="1:14" x14ac:dyDescent="0.25">
      <c r="A447" t="s">
        <v>727</v>
      </c>
      <c r="B447" s="1">
        <v>45896</v>
      </c>
      <c r="C447" t="s">
        <v>183</v>
      </c>
      <c r="D447" t="s">
        <v>184</v>
      </c>
      <c r="E447" t="s">
        <v>16</v>
      </c>
      <c r="F447" t="s">
        <v>89</v>
      </c>
      <c r="G447">
        <v>7</v>
      </c>
      <c r="H447">
        <v>752.32</v>
      </c>
      <c r="I447">
        <v>4476.3</v>
      </c>
      <c r="J447">
        <v>0.15</v>
      </c>
      <c r="K447">
        <v>835.83</v>
      </c>
      <c r="L447" s="14">
        <f>sales_data[[#This Row],[Profit]]/sales_data[[#This Row],[Sales]]</f>
        <v>0.18672340995911801</v>
      </c>
      <c r="M447" t="s">
        <v>46</v>
      </c>
      <c r="N447" t="s">
        <v>30</v>
      </c>
    </row>
    <row r="448" spans="1:14" x14ac:dyDescent="0.25">
      <c r="A448" t="s">
        <v>728</v>
      </c>
      <c r="B448" s="1">
        <v>45776</v>
      </c>
      <c r="C448" t="s">
        <v>87</v>
      </c>
      <c r="D448" t="s">
        <v>88</v>
      </c>
      <c r="E448" t="s">
        <v>16</v>
      </c>
      <c r="F448" t="s">
        <v>17</v>
      </c>
      <c r="G448">
        <v>1</v>
      </c>
      <c r="H448">
        <v>811.44</v>
      </c>
      <c r="I448">
        <v>689.72</v>
      </c>
      <c r="J448">
        <v>0.15</v>
      </c>
      <c r="K448">
        <v>138.51</v>
      </c>
      <c r="L448" s="14">
        <f>sales_data[[#This Row],[Profit]]/sales_data[[#This Row],[Sales]]</f>
        <v>0.200820622861451</v>
      </c>
      <c r="M448" t="s">
        <v>46</v>
      </c>
      <c r="N448" t="s">
        <v>58</v>
      </c>
    </row>
    <row r="449" spans="1:14" x14ac:dyDescent="0.25">
      <c r="A449" t="s">
        <v>729</v>
      </c>
      <c r="B449" s="1">
        <v>45715</v>
      </c>
      <c r="C449" t="s">
        <v>222</v>
      </c>
      <c r="D449" t="s">
        <v>223</v>
      </c>
      <c r="E449" t="s">
        <v>23</v>
      </c>
      <c r="F449" t="s">
        <v>281</v>
      </c>
      <c r="G449">
        <v>3</v>
      </c>
      <c r="H449">
        <v>39.119999999999997</v>
      </c>
      <c r="I449">
        <v>117.36</v>
      </c>
      <c r="J449">
        <v>0</v>
      </c>
      <c r="K449">
        <v>51.28</v>
      </c>
      <c r="L449" s="14">
        <f>sales_data[[#This Row],[Profit]]/sales_data[[#This Row],[Sales]]</f>
        <v>0.43694614860259035</v>
      </c>
      <c r="M449" t="s">
        <v>25</v>
      </c>
      <c r="N449" t="s">
        <v>19</v>
      </c>
    </row>
    <row r="450" spans="1:14" x14ac:dyDescent="0.25">
      <c r="A450" t="s">
        <v>730</v>
      </c>
      <c r="B450" s="1">
        <v>45783</v>
      </c>
      <c r="C450" t="s">
        <v>147</v>
      </c>
      <c r="D450" t="s">
        <v>148</v>
      </c>
      <c r="E450" t="s">
        <v>44</v>
      </c>
      <c r="F450" t="s">
        <v>51</v>
      </c>
      <c r="G450">
        <v>4</v>
      </c>
      <c r="H450">
        <v>216.51</v>
      </c>
      <c r="I450">
        <v>779.44</v>
      </c>
      <c r="J450">
        <v>0.1</v>
      </c>
      <c r="K450">
        <v>234</v>
      </c>
      <c r="L450" s="14">
        <f>sales_data[[#This Row],[Profit]]/sales_data[[#This Row],[Sales]]</f>
        <v>0.3002155393615929</v>
      </c>
      <c r="M450" t="s">
        <v>25</v>
      </c>
      <c r="N450" t="s">
        <v>19</v>
      </c>
    </row>
    <row r="451" spans="1:14" x14ac:dyDescent="0.25">
      <c r="A451" t="s">
        <v>731</v>
      </c>
      <c r="B451" s="1">
        <v>45795</v>
      </c>
      <c r="C451" t="s">
        <v>158</v>
      </c>
      <c r="D451" t="s">
        <v>159</v>
      </c>
      <c r="E451" t="s">
        <v>16</v>
      </c>
      <c r="F451" t="s">
        <v>40</v>
      </c>
      <c r="G451">
        <v>4</v>
      </c>
      <c r="H451">
        <v>442.5</v>
      </c>
      <c r="I451">
        <v>1593</v>
      </c>
      <c r="J451">
        <v>0.1</v>
      </c>
      <c r="K451">
        <v>331.54</v>
      </c>
      <c r="L451" s="14">
        <f>sales_data[[#This Row],[Profit]]/sales_data[[#This Row],[Sales]]</f>
        <v>0.20812303829252984</v>
      </c>
      <c r="M451" t="s">
        <v>35</v>
      </c>
      <c r="N451" t="s">
        <v>47</v>
      </c>
    </row>
    <row r="452" spans="1:14" x14ac:dyDescent="0.25">
      <c r="A452" t="s">
        <v>732</v>
      </c>
      <c r="B452" s="1">
        <v>45823</v>
      </c>
      <c r="C452" t="s">
        <v>232</v>
      </c>
      <c r="D452" t="s">
        <v>233</v>
      </c>
      <c r="E452" t="s">
        <v>78</v>
      </c>
      <c r="F452" t="s">
        <v>205</v>
      </c>
      <c r="G452">
        <v>7</v>
      </c>
      <c r="H452">
        <v>54.67</v>
      </c>
      <c r="I452">
        <v>382.69</v>
      </c>
      <c r="J452">
        <v>0</v>
      </c>
      <c r="K452">
        <v>139.72999999999999</v>
      </c>
      <c r="L452" s="14">
        <f>sales_data[[#This Row],[Profit]]/sales_data[[#This Row],[Sales]]</f>
        <v>0.36512581985419007</v>
      </c>
      <c r="M452" t="s">
        <v>18</v>
      </c>
      <c r="N452" t="s">
        <v>30</v>
      </c>
    </row>
    <row r="453" spans="1:14" x14ac:dyDescent="0.25">
      <c r="A453" t="s">
        <v>733</v>
      </c>
      <c r="B453" s="1">
        <v>45849</v>
      </c>
      <c r="C453" t="s">
        <v>475</v>
      </c>
      <c r="D453" t="s">
        <v>476</v>
      </c>
      <c r="E453" t="s">
        <v>23</v>
      </c>
      <c r="F453" t="s">
        <v>196</v>
      </c>
      <c r="G453">
        <v>2</v>
      </c>
      <c r="H453">
        <v>41.92</v>
      </c>
      <c r="I453">
        <v>83.84</v>
      </c>
      <c r="J453">
        <v>0</v>
      </c>
      <c r="K453">
        <v>35.32</v>
      </c>
      <c r="L453" s="14">
        <f>sales_data[[#This Row],[Profit]]/sales_data[[#This Row],[Sales]]</f>
        <v>0.42127862595419846</v>
      </c>
      <c r="M453" t="s">
        <v>25</v>
      </c>
      <c r="N453" t="s">
        <v>30</v>
      </c>
    </row>
    <row r="454" spans="1:14" x14ac:dyDescent="0.25">
      <c r="A454" t="s">
        <v>734</v>
      </c>
      <c r="B454" s="1">
        <v>45722</v>
      </c>
      <c r="C454" t="s">
        <v>439</v>
      </c>
      <c r="D454" t="s">
        <v>440</v>
      </c>
      <c r="E454" t="s">
        <v>44</v>
      </c>
      <c r="F454" t="s">
        <v>110</v>
      </c>
      <c r="G454">
        <v>7</v>
      </c>
      <c r="H454">
        <v>235.33</v>
      </c>
      <c r="I454">
        <v>1400.21</v>
      </c>
      <c r="J454">
        <v>0.15</v>
      </c>
      <c r="K454">
        <v>431.67</v>
      </c>
      <c r="L454" s="14">
        <f>sales_data[[#This Row],[Profit]]/sales_data[[#This Row],[Sales]]</f>
        <v>0.30828947086508451</v>
      </c>
      <c r="M454" t="s">
        <v>25</v>
      </c>
      <c r="N454" t="s">
        <v>47</v>
      </c>
    </row>
    <row r="455" spans="1:14" x14ac:dyDescent="0.25">
      <c r="A455" t="s">
        <v>735</v>
      </c>
      <c r="B455" s="1">
        <v>45746</v>
      </c>
      <c r="C455" t="s">
        <v>341</v>
      </c>
      <c r="D455" t="s">
        <v>342</v>
      </c>
      <c r="E455" t="s">
        <v>44</v>
      </c>
      <c r="F455" t="s">
        <v>51</v>
      </c>
      <c r="G455">
        <v>2</v>
      </c>
      <c r="H455">
        <v>477.03</v>
      </c>
      <c r="I455">
        <v>858.65</v>
      </c>
      <c r="J455">
        <v>0.1</v>
      </c>
      <c r="K455">
        <v>243.97</v>
      </c>
      <c r="L455" s="14">
        <f>sales_data[[#This Row],[Profit]]/sales_data[[#This Row],[Sales]]</f>
        <v>0.28413206778081873</v>
      </c>
      <c r="M455" t="s">
        <v>18</v>
      </c>
      <c r="N455" t="s">
        <v>19</v>
      </c>
    </row>
    <row r="456" spans="1:14" x14ac:dyDescent="0.25">
      <c r="A456" t="s">
        <v>736</v>
      </c>
      <c r="B456" s="1">
        <v>45697</v>
      </c>
      <c r="C456" t="s">
        <v>394</v>
      </c>
      <c r="D456" t="s">
        <v>395</v>
      </c>
      <c r="E456" t="s">
        <v>78</v>
      </c>
      <c r="F456" t="s">
        <v>255</v>
      </c>
      <c r="G456">
        <v>2</v>
      </c>
      <c r="H456">
        <v>41.57</v>
      </c>
      <c r="I456">
        <v>78.98</v>
      </c>
      <c r="J456">
        <v>0.05</v>
      </c>
      <c r="K456">
        <v>29.04</v>
      </c>
      <c r="L456" s="14">
        <f>sales_data[[#This Row],[Profit]]/sales_data[[#This Row],[Sales]]</f>
        <v>0.36768802228412251</v>
      </c>
      <c r="M456" t="s">
        <v>18</v>
      </c>
      <c r="N456" t="s">
        <v>30</v>
      </c>
    </row>
    <row r="457" spans="1:14" x14ac:dyDescent="0.25">
      <c r="A457" t="s">
        <v>737</v>
      </c>
      <c r="B457" s="1">
        <v>45984</v>
      </c>
      <c r="C457" t="s">
        <v>347</v>
      </c>
      <c r="D457" t="s">
        <v>348</v>
      </c>
      <c r="E457" t="s">
        <v>44</v>
      </c>
      <c r="F457" t="s">
        <v>127</v>
      </c>
      <c r="G457">
        <v>2</v>
      </c>
      <c r="H457">
        <v>112.57</v>
      </c>
      <c r="I457">
        <v>202.63</v>
      </c>
      <c r="J457">
        <v>0.1</v>
      </c>
      <c r="K457">
        <v>60.29</v>
      </c>
      <c r="L457" s="14">
        <f>sales_data[[#This Row],[Profit]]/sales_data[[#This Row],[Sales]]</f>
        <v>0.29753738340818242</v>
      </c>
      <c r="M457" t="s">
        <v>25</v>
      </c>
      <c r="N457" t="s">
        <v>19</v>
      </c>
    </row>
    <row r="458" spans="1:14" x14ac:dyDescent="0.25">
      <c r="A458" t="s">
        <v>738</v>
      </c>
      <c r="B458" s="1">
        <v>45886</v>
      </c>
      <c r="C458" t="s">
        <v>248</v>
      </c>
      <c r="D458" t="s">
        <v>249</v>
      </c>
      <c r="E458" t="s">
        <v>78</v>
      </c>
      <c r="F458" t="s">
        <v>255</v>
      </c>
      <c r="G458">
        <v>3</v>
      </c>
      <c r="H458">
        <v>134.63</v>
      </c>
      <c r="I458">
        <v>383.7</v>
      </c>
      <c r="J458">
        <v>0.05</v>
      </c>
      <c r="K458">
        <v>139.63</v>
      </c>
      <c r="L458" s="14">
        <f>sales_data[[#This Row],[Profit]]/sales_data[[#This Row],[Sales]]</f>
        <v>0.36390409173833727</v>
      </c>
      <c r="M458" t="s">
        <v>46</v>
      </c>
      <c r="N458" t="s">
        <v>30</v>
      </c>
    </row>
    <row r="459" spans="1:14" x14ac:dyDescent="0.25">
      <c r="A459" t="s">
        <v>739</v>
      </c>
      <c r="B459" s="1">
        <v>45990</v>
      </c>
      <c r="C459" t="s">
        <v>452</v>
      </c>
      <c r="D459" t="s">
        <v>453</v>
      </c>
      <c r="E459" t="s">
        <v>78</v>
      </c>
      <c r="F459" t="s">
        <v>255</v>
      </c>
      <c r="G459">
        <v>3</v>
      </c>
      <c r="H459">
        <v>32.29</v>
      </c>
      <c r="I459">
        <v>87.18</v>
      </c>
      <c r="J459">
        <v>0.1</v>
      </c>
      <c r="K459">
        <v>33.520000000000003</v>
      </c>
      <c r="L459" s="14">
        <f>sales_data[[#This Row],[Profit]]/sales_data[[#This Row],[Sales]]</f>
        <v>0.38449185593025925</v>
      </c>
      <c r="M459" t="s">
        <v>46</v>
      </c>
      <c r="N459" t="s">
        <v>58</v>
      </c>
    </row>
    <row r="460" spans="1:14" x14ac:dyDescent="0.25">
      <c r="A460" t="s">
        <v>740</v>
      </c>
      <c r="B460" s="1">
        <v>45903</v>
      </c>
      <c r="C460" t="s">
        <v>125</v>
      </c>
      <c r="D460" t="s">
        <v>126</v>
      </c>
      <c r="E460" t="s">
        <v>16</v>
      </c>
      <c r="F460" t="s">
        <v>17</v>
      </c>
      <c r="G460">
        <v>6</v>
      </c>
      <c r="H460">
        <v>734.52</v>
      </c>
      <c r="I460">
        <v>3966.41</v>
      </c>
      <c r="J460">
        <v>0.1</v>
      </c>
      <c r="K460">
        <v>766.46</v>
      </c>
      <c r="L460" s="14">
        <f>sales_data[[#This Row],[Profit]]/sales_data[[#This Row],[Sales]]</f>
        <v>0.1932377137008025</v>
      </c>
      <c r="M460" t="s">
        <v>46</v>
      </c>
      <c r="N460" t="s">
        <v>36</v>
      </c>
    </row>
    <row r="461" spans="1:14" x14ac:dyDescent="0.25">
      <c r="A461" t="s">
        <v>741</v>
      </c>
      <c r="B461" s="1">
        <v>45913</v>
      </c>
      <c r="C461" t="s">
        <v>323</v>
      </c>
      <c r="D461" t="s">
        <v>324</v>
      </c>
      <c r="E461" t="s">
        <v>23</v>
      </c>
      <c r="F461" t="s">
        <v>24</v>
      </c>
      <c r="G461">
        <v>4</v>
      </c>
      <c r="H461">
        <v>45.87</v>
      </c>
      <c r="I461">
        <v>155.96</v>
      </c>
      <c r="J461">
        <v>0.15</v>
      </c>
      <c r="K461">
        <v>64.900000000000006</v>
      </c>
      <c r="L461" s="14">
        <f>sales_data[[#This Row],[Profit]]/sales_data[[#This Row],[Sales]]</f>
        <v>0.416132341626058</v>
      </c>
      <c r="M461" t="s">
        <v>46</v>
      </c>
      <c r="N461" t="s">
        <v>30</v>
      </c>
    </row>
    <row r="462" spans="1:14" x14ac:dyDescent="0.25">
      <c r="A462" t="s">
        <v>742</v>
      </c>
      <c r="B462" s="1">
        <v>45944</v>
      </c>
      <c r="C462" t="s">
        <v>427</v>
      </c>
      <c r="D462" t="s">
        <v>428</v>
      </c>
      <c r="E462" t="s">
        <v>23</v>
      </c>
      <c r="F462" t="s">
        <v>117</v>
      </c>
      <c r="G462">
        <v>2</v>
      </c>
      <c r="H462">
        <v>43.19</v>
      </c>
      <c r="I462">
        <v>77.739999999999995</v>
      </c>
      <c r="J462">
        <v>0.1</v>
      </c>
      <c r="K462">
        <v>32.450000000000003</v>
      </c>
      <c r="L462" s="14">
        <f>sales_data[[#This Row],[Profit]]/sales_data[[#This Row],[Sales]]</f>
        <v>0.41741703112940576</v>
      </c>
      <c r="M462" t="s">
        <v>35</v>
      </c>
      <c r="N462" t="s">
        <v>47</v>
      </c>
    </row>
    <row r="463" spans="1:14" x14ac:dyDescent="0.25">
      <c r="A463" t="s">
        <v>743</v>
      </c>
      <c r="B463" s="1">
        <v>45862</v>
      </c>
      <c r="C463" t="s">
        <v>312</v>
      </c>
      <c r="D463" t="s">
        <v>313</v>
      </c>
      <c r="E463" t="s">
        <v>23</v>
      </c>
      <c r="F463" t="s">
        <v>281</v>
      </c>
      <c r="G463">
        <v>6</v>
      </c>
      <c r="H463">
        <v>23.43</v>
      </c>
      <c r="I463">
        <v>126.52</v>
      </c>
      <c r="J463">
        <v>0.1</v>
      </c>
      <c r="K463">
        <v>54.91</v>
      </c>
      <c r="L463" s="14">
        <f>sales_data[[#This Row],[Profit]]/sales_data[[#This Row],[Sales]]</f>
        <v>0.4340025292443882</v>
      </c>
      <c r="M463" t="s">
        <v>25</v>
      </c>
      <c r="N463" t="s">
        <v>47</v>
      </c>
    </row>
    <row r="464" spans="1:14" x14ac:dyDescent="0.25">
      <c r="A464" t="s">
        <v>744</v>
      </c>
      <c r="B464" s="1">
        <v>45766</v>
      </c>
      <c r="C464" t="s">
        <v>186</v>
      </c>
      <c r="D464" t="s">
        <v>187</v>
      </c>
      <c r="E464" t="s">
        <v>16</v>
      </c>
      <c r="F464" t="s">
        <v>34</v>
      </c>
      <c r="G464">
        <v>6</v>
      </c>
      <c r="H464">
        <v>741.68</v>
      </c>
      <c r="I464">
        <v>3782.57</v>
      </c>
      <c r="J464">
        <v>0.15</v>
      </c>
      <c r="K464">
        <v>705.17</v>
      </c>
      <c r="L464" s="14">
        <f>sales_data[[#This Row],[Profit]]/sales_data[[#This Row],[Sales]]</f>
        <v>0.18642615999175163</v>
      </c>
      <c r="M464" t="s">
        <v>35</v>
      </c>
      <c r="N464" t="s">
        <v>19</v>
      </c>
    </row>
    <row r="465" spans="1:14" x14ac:dyDescent="0.25">
      <c r="A465" t="s">
        <v>745</v>
      </c>
      <c r="B465" s="1">
        <v>45846</v>
      </c>
      <c r="C465" t="s">
        <v>98</v>
      </c>
      <c r="D465" t="s">
        <v>99</v>
      </c>
      <c r="E465" t="s">
        <v>44</v>
      </c>
      <c r="F465" t="s">
        <v>110</v>
      </c>
      <c r="G465">
        <v>7</v>
      </c>
      <c r="H465">
        <v>356.47</v>
      </c>
      <c r="I465">
        <v>2370.5300000000002</v>
      </c>
      <c r="J465">
        <v>0.05</v>
      </c>
      <c r="K465">
        <v>692.41</v>
      </c>
      <c r="L465" s="14">
        <f>sales_data[[#This Row],[Profit]]/sales_data[[#This Row],[Sales]]</f>
        <v>0.2920907982603046</v>
      </c>
      <c r="M465" t="s">
        <v>18</v>
      </c>
      <c r="N465" t="s">
        <v>19</v>
      </c>
    </row>
    <row r="466" spans="1:14" x14ac:dyDescent="0.25">
      <c r="A466" t="s">
        <v>746</v>
      </c>
      <c r="B466" s="1">
        <v>45895</v>
      </c>
      <c r="C466" t="s">
        <v>374</v>
      </c>
      <c r="D466" t="s">
        <v>375</v>
      </c>
      <c r="E466" t="s">
        <v>23</v>
      </c>
      <c r="F466" t="s">
        <v>196</v>
      </c>
      <c r="G466">
        <v>2</v>
      </c>
      <c r="H466">
        <v>16.14</v>
      </c>
      <c r="I466">
        <v>32.28</v>
      </c>
      <c r="J466">
        <v>0</v>
      </c>
      <c r="K466">
        <v>14.01</v>
      </c>
      <c r="L466" s="14">
        <f>sales_data[[#This Row],[Profit]]/sales_data[[#This Row],[Sales]]</f>
        <v>0.43401486988847582</v>
      </c>
      <c r="M466" t="s">
        <v>18</v>
      </c>
      <c r="N466" t="s">
        <v>36</v>
      </c>
    </row>
    <row r="467" spans="1:14" x14ac:dyDescent="0.25">
      <c r="A467" t="s">
        <v>747</v>
      </c>
      <c r="B467" s="1">
        <v>45800</v>
      </c>
      <c r="C467" t="s">
        <v>462</v>
      </c>
      <c r="D467" t="s">
        <v>463</v>
      </c>
      <c r="E467" t="s">
        <v>44</v>
      </c>
      <c r="F467" t="s">
        <v>45</v>
      </c>
      <c r="G467">
        <v>4</v>
      </c>
      <c r="H467">
        <v>371.6</v>
      </c>
      <c r="I467">
        <v>1412.08</v>
      </c>
      <c r="J467">
        <v>0.05</v>
      </c>
      <c r="K467">
        <v>435.62</v>
      </c>
      <c r="L467" s="14">
        <f>sales_data[[#This Row],[Profit]]/sales_data[[#This Row],[Sales]]</f>
        <v>0.30849526938983629</v>
      </c>
      <c r="M467" t="s">
        <v>25</v>
      </c>
      <c r="N467" t="s">
        <v>36</v>
      </c>
    </row>
    <row r="468" spans="1:14" x14ac:dyDescent="0.25">
      <c r="A468" t="s">
        <v>748</v>
      </c>
      <c r="B468" s="1">
        <v>45839</v>
      </c>
      <c r="C468" t="s">
        <v>212</v>
      </c>
      <c r="D468" t="s">
        <v>213</v>
      </c>
      <c r="E468" t="s">
        <v>78</v>
      </c>
      <c r="F468" t="s">
        <v>255</v>
      </c>
      <c r="G468">
        <v>1</v>
      </c>
      <c r="H468">
        <v>144.91</v>
      </c>
      <c r="I468">
        <v>130.41999999999999</v>
      </c>
      <c r="J468">
        <v>0.1</v>
      </c>
      <c r="K468">
        <v>50.02</v>
      </c>
      <c r="L468" s="14">
        <f>sales_data[[#This Row],[Profit]]/sales_data[[#This Row],[Sales]]</f>
        <v>0.38353013341512043</v>
      </c>
      <c r="M468" t="s">
        <v>25</v>
      </c>
      <c r="N468" t="s">
        <v>30</v>
      </c>
    </row>
    <row r="469" spans="1:14" x14ac:dyDescent="0.25">
      <c r="A469" t="s">
        <v>749</v>
      </c>
      <c r="B469" s="1">
        <v>45729</v>
      </c>
      <c r="C469" t="s">
        <v>136</v>
      </c>
      <c r="D469" t="s">
        <v>137</v>
      </c>
      <c r="E469" t="s">
        <v>23</v>
      </c>
      <c r="F469" t="s">
        <v>117</v>
      </c>
      <c r="G469">
        <v>6</v>
      </c>
      <c r="H469">
        <v>56.56</v>
      </c>
      <c r="I469">
        <v>305.42</v>
      </c>
      <c r="J469">
        <v>0.1</v>
      </c>
      <c r="K469">
        <v>132.55000000000001</v>
      </c>
      <c r="L469" s="14">
        <f>sales_data[[#This Row],[Profit]]/sales_data[[#This Row],[Sales]]</f>
        <v>0.4339925348700151</v>
      </c>
      <c r="M469" t="s">
        <v>18</v>
      </c>
      <c r="N469" t="s">
        <v>58</v>
      </c>
    </row>
    <row r="470" spans="1:14" x14ac:dyDescent="0.25">
      <c r="A470" t="s">
        <v>750</v>
      </c>
      <c r="B470" s="1">
        <v>45878</v>
      </c>
      <c r="C470" t="s">
        <v>427</v>
      </c>
      <c r="D470" t="s">
        <v>428</v>
      </c>
      <c r="E470" t="s">
        <v>44</v>
      </c>
      <c r="F470" t="s">
        <v>110</v>
      </c>
      <c r="G470">
        <v>5</v>
      </c>
      <c r="H470">
        <v>589.49</v>
      </c>
      <c r="I470">
        <v>2505.33</v>
      </c>
      <c r="J470">
        <v>0.15</v>
      </c>
      <c r="K470">
        <v>749.15</v>
      </c>
      <c r="L470" s="14">
        <f>sales_data[[#This Row],[Profit]]/sales_data[[#This Row],[Sales]]</f>
        <v>0.29902248406397558</v>
      </c>
      <c r="M470" t="s">
        <v>46</v>
      </c>
      <c r="N470" t="s">
        <v>19</v>
      </c>
    </row>
    <row r="471" spans="1:14" x14ac:dyDescent="0.25">
      <c r="A471" t="s">
        <v>751</v>
      </c>
      <c r="B471" s="1">
        <v>45967</v>
      </c>
      <c r="C471" t="s">
        <v>303</v>
      </c>
      <c r="D471" t="s">
        <v>304</v>
      </c>
      <c r="E471" t="s">
        <v>23</v>
      </c>
      <c r="F471" t="s">
        <v>24</v>
      </c>
      <c r="G471">
        <v>1</v>
      </c>
      <c r="H471">
        <v>24.78</v>
      </c>
      <c r="I471">
        <v>23.54</v>
      </c>
      <c r="J471">
        <v>0.05</v>
      </c>
      <c r="K471">
        <v>10.15</v>
      </c>
      <c r="L471" s="14">
        <f>sales_data[[#This Row],[Profit]]/sales_data[[#This Row],[Sales]]</f>
        <v>0.43118096856414617</v>
      </c>
      <c r="M471" t="s">
        <v>35</v>
      </c>
      <c r="N471" t="s">
        <v>58</v>
      </c>
    </row>
    <row r="472" spans="1:14" x14ac:dyDescent="0.25">
      <c r="A472" t="s">
        <v>752</v>
      </c>
      <c r="B472" s="1">
        <v>46016</v>
      </c>
      <c r="C472" t="s">
        <v>402</v>
      </c>
      <c r="D472" t="s">
        <v>403</v>
      </c>
      <c r="E472" t="s">
        <v>16</v>
      </c>
      <c r="F472" t="s">
        <v>34</v>
      </c>
      <c r="G472">
        <v>3</v>
      </c>
      <c r="H472">
        <v>743.47</v>
      </c>
      <c r="I472">
        <v>2007.37</v>
      </c>
      <c r="J472">
        <v>0.1</v>
      </c>
      <c r="K472">
        <v>402.42</v>
      </c>
      <c r="L472" s="14">
        <f>sales_data[[#This Row],[Profit]]/sales_data[[#This Row],[Sales]]</f>
        <v>0.2004712633943917</v>
      </c>
      <c r="M472" t="s">
        <v>46</v>
      </c>
      <c r="N472" t="s">
        <v>19</v>
      </c>
    </row>
    <row r="473" spans="1:14" x14ac:dyDescent="0.25">
      <c r="A473" t="s">
        <v>753</v>
      </c>
      <c r="B473" s="1">
        <v>45871</v>
      </c>
      <c r="C473" t="s">
        <v>561</v>
      </c>
      <c r="D473" t="s">
        <v>562</v>
      </c>
      <c r="E473" t="s">
        <v>78</v>
      </c>
      <c r="F473" t="s">
        <v>79</v>
      </c>
      <c r="G473">
        <v>1</v>
      </c>
      <c r="H473">
        <v>56.44</v>
      </c>
      <c r="I473">
        <v>45.15</v>
      </c>
      <c r="J473">
        <v>0.2</v>
      </c>
      <c r="K473">
        <v>17.59</v>
      </c>
      <c r="L473" s="14">
        <f>sales_data[[#This Row],[Profit]]/sales_data[[#This Row],[Sales]]</f>
        <v>0.3895902547065338</v>
      </c>
      <c r="M473" t="s">
        <v>25</v>
      </c>
      <c r="N473" t="s">
        <v>36</v>
      </c>
    </row>
    <row r="474" spans="1:14" x14ac:dyDescent="0.25">
      <c r="A474" t="s">
        <v>754</v>
      </c>
      <c r="B474" s="1">
        <v>45740</v>
      </c>
      <c r="C474" t="s">
        <v>143</v>
      </c>
      <c r="D474" t="s">
        <v>144</v>
      </c>
      <c r="E474" t="s">
        <v>23</v>
      </c>
      <c r="F474" t="s">
        <v>281</v>
      </c>
      <c r="G474">
        <v>4</v>
      </c>
      <c r="H474">
        <v>29.18</v>
      </c>
      <c r="I474">
        <v>116.72</v>
      </c>
      <c r="J474">
        <v>0</v>
      </c>
      <c r="K474">
        <v>49.81</v>
      </c>
      <c r="L474" s="14">
        <f>sales_data[[#This Row],[Profit]]/sales_data[[#This Row],[Sales]]</f>
        <v>0.42674777244688145</v>
      </c>
      <c r="M474" t="s">
        <v>35</v>
      </c>
      <c r="N474" t="s">
        <v>47</v>
      </c>
    </row>
    <row r="475" spans="1:14" x14ac:dyDescent="0.25">
      <c r="A475" t="s">
        <v>755</v>
      </c>
      <c r="B475" s="1">
        <v>45865</v>
      </c>
      <c r="C475" t="s">
        <v>626</v>
      </c>
      <c r="D475" t="s">
        <v>627</v>
      </c>
      <c r="E475" t="s">
        <v>16</v>
      </c>
      <c r="F475" t="s">
        <v>71</v>
      </c>
      <c r="G475">
        <v>4</v>
      </c>
      <c r="H475">
        <v>258.23</v>
      </c>
      <c r="I475">
        <v>1032.92</v>
      </c>
      <c r="J475">
        <v>0</v>
      </c>
      <c r="K475">
        <v>209.48</v>
      </c>
      <c r="L475" s="14">
        <f>sales_data[[#This Row],[Profit]]/sales_data[[#This Row],[Sales]]</f>
        <v>0.20280370212601168</v>
      </c>
      <c r="M475" t="s">
        <v>25</v>
      </c>
      <c r="N475" t="s">
        <v>30</v>
      </c>
    </row>
    <row r="476" spans="1:14" x14ac:dyDescent="0.25">
      <c r="A476" t="s">
        <v>756</v>
      </c>
      <c r="B476" s="1">
        <v>45682</v>
      </c>
      <c r="C476" t="s">
        <v>222</v>
      </c>
      <c r="D476" t="s">
        <v>223</v>
      </c>
      <c r="E476" t="s">
        <v>16</v>
      </c>
      <c r="F476" t="s">
        <v>17</v>
      </c>
      <c r="G476">
        <v>3</v>
      </c>
      <c r="H476">
        <v>314.82</v>
      </c>
      <c r="I476">
        <v>897.24</v>
      </c>
      <c r="J476">
        <v>0.05</v>
      </c>
      <c r="K476">
        <v>170.6</v>
      </c>
      <c r="L476" s="14">
        <f>sales_data[[#This Row],[Profit]]/sales_data[[#This Row],[Sales]]</f>
        <v>0.19013864740760553</v>
      </c>
      <c r="M476" t="s">
        <v>46</v>
      </c>
      <c r="N476" t="s">
        <v>30</v>
      </c>
    </row>
    <row r="477" spans="1:14" x14ac:dyDescent="0.25">
      <c r="A477" t="s">
        <v>757</v>
      </c>
      <c r="B477" s="1">
        <v>45868</v>
      </c>
      <c r="C477" t="s">
        <v>101</v>
      </c>
      <c r="D477" t="s">
        <v>102</v>
      </c>
      <c r="E477" t="s">
        <v>23</v>
      </c>
      <c r="F477" t="s">
        <v>29</v>
      </c>
      <c r="G477">
        <v>5</v>
      </c>
      <c r="H477">
        <v>11.84</v>
      </c>
      <c r="I477">
        <v>50.32</v>
      </c>
      <c r="J477">
        <v>0.15</v>
      </c>
      <c r="K477">
        <v>20.96</v>
      </c>
      <c r="L477" s="14">
        <f>sales_data[[#This Row],[Profit]]/sales_data[[#This Row],[Sales]]</f>
        <v>0.41653418124006358</v>
      </c>
      <c r="M477" t="s">
        <v>18</v>
      </c>
      <c r="N477" t="s">
        <v>30</v>
      </c>
    </row>
    <row r="478" spans="1:14" x14ac:dyDescent="0.25">
      <c r="A478" t="s">
        <v>758</v>
      </c>
      <c r="B478" s="1">
        <v>45939</v>
      </c>
      <c r="C478" t="s">
        <v>42</v>
      </c>
      <c r="D478" t="s">
        <v>43</v>
      </c>
      <c r="E478" t="s">
        <v>78</v>
      </c>
      <c r="F478" t="s">
        <v>79</v>
      </c>
      <c r="G478">
        <v>2</v>
      </c>
      <c r="H478">
        <v>155.25</v>
      </c>
      <c r="I478">
        <v>294.97000000000003</v>
      </c>
      <c r="J478">
        <v>0.05</v>
      </c>
      <c r="K478">
        <v>108.34</v>
      </c>
      <c r="L478" s="14">
        <f>sales_data[[#This Row],[Profit]]/sales_data[[#This Row],[Sales]]</f>
        <v>0.36729158897515002</v>
      </c>
      <c r="M478" t="s">
        <v>25</v>
      </c>
      <c r="N478" t="s">
        <v>36</v>
      </c>
    </row>
    <row r="479" spans="1:14" x14ac:dyDescent="0.25">
      <c r="A479" t="s">
        <v>759</v>
      </c>
      <c r="B479" s="1">
        <v>45815</v>
      </c>
      <c r="C479" t="s">
        <v>216</v>
      </c>
      <c r="D479" t="s">
        <v>217</v>
      </c>
      <c r="E479" t="s">
        <v>44</v>
      </c>
      <c r="F479" t="s">
        <v>96</v>
      </c>
      <c r="G479">
        <v>2</v>
      </c>
      <c r="H479">
        <v>434.54</v>
      </c>
      <c r="I479">
        <v>738.72</v>
      </c>
      <c r="J479">
        <v>0.15</v>
      </c>
      <c r="K479">
        <v>210.78</v>
      </c>
      <c r="L479" s="14">
        <f>sales_data[[#This Row],[Profit]]/sales_data[[#This Row],[Sales]]</f>
        <v>0.28533138401559455</v>
      </c>
      <c r="M479" t="s">
        <v>35</v>
      </c>
      <c r="N479" t="s">
        <v>19</v>
      </c>
    </row>
    <row r="480" spans="1:14" x14ac:dyDescent="0.25">
      <c r="A480" t="s">
        <v>760</v>
      </c>
      <c r="B480" s="1">
        <v>45800</v>
      </c>
      <c r="C480" t="s">
        <v>422</v>
      </c>
      <c r="D480" t="s">
        <v>423</v>
      </c>
      <c r="E480" t="s">
        <v>44</v>
      </c>
      <c r="F480" t="s">
        <v>51</v>
      </c>
      <c r="G480">
        <v>4</v>
      </c>
      <c r="H480">
        <v>521.70000000000005</v>
      </c>
      <c r="I480">
        <v>1878.12</v>
      </c>
      <c r="J480">
        <v>0.1</v>
      </c>
      <c r="K480">
        <v>549.33000000000004</v>
      </c>
      <c r="L480" s="14">
        <f>sales_data[[#This Row],[Profit]]/sales_data[[#This Row],[Sales]]</f>
        <v>0.29248929780844679</v>
      </c>
      <c r="M480" t="s">
        <v>46</v>
      </c>
      <c r="N480" t="s">
        <v>19</v>
      </c>
    </row>
    <row r="481" spans="1:14" x14ac:dyDescent="0.25">
      <c r="A481" t="s">
        <v>761</v>
      </c>
      <c r="B481" s="1">
        <v>45769</v>
      </c>
      <c r="C481" t="s">
        <v>27</v>
      </c>
      <c r="D481" t="s">
        <v>28</v>
      </c>
      <c r="E481" t="s">
        <v>16</v>
      </c>
      <c r="F481" t="s">
        <v>34</v>
      </c>
      <c r="G481">
        <v>7</v>
      </c>
      <c r="H481">
        <v>42.83</v>
      </c>
      <c r="I481">
        <v>269.83</v>
      </c>
      <c r="J481">
        <v>0.1</v>
      </c>
      <c r="K481">
        <v>55.81</v>
      </c>
      <c r="L481" s="14">
        <f>sales_data[[#This Row],[Profit]]/sales_data[[#This Row],[Sales]]</f>
        <v>0.20683393247600343</v>
      </c>
      <c r="M481" t="s">
        <v>18</v>
      </c>
      <c r="N481" t="s">
        <v>58</v>
      </c>
    </row>
    <row r="482" spans="1:14" x14ac:dyDescent="0.25">
      <c r="A482" t="s">
        <v>762</v>
      </c>
      <c r="B482" s="1">
        <v>46002</v>
      </c>
      <c r="C482" t="s">
        <v>763</v>
      </c>
      <c r="D482" t="s">
        <v>764</v>
      </c>
      <c r="E482" t="s">
        <v>44</v>
      </c>
      <c r="F482" t="s">
        <v>96</v>
      </c>
      <c r="G482">
        <v>1</v>
      </c>
      <c r="H482">
        <v>85.43</v>
      </c>
      <c r="I482">
        <v>85.43</v>
      </c>
      <c r="J482">
        <v>0</v>
      </c>
      <c r="K482">
        <v>24.48</v>
      </c>
      <c r="L482" s="14">
        <f>sales_data[[#This Row],[Profit]]/sales_data[[#This Row],[Sales]]</f>
        <v>0.28655039213391081</v>
      </c>
      <c r="M482" t="s">
        <v>46</v>
      </c>
      <c r="N482" t="s">
        <v>19</v>
      </c>
    </row>
    <row r="483" spans="1:14" x14ac:dyDescent="0.25">
      <c r="A483" t="s">
        <v>765</v>
      </c>
      <c r="B483" s="1">
        <v>45713</v>
      </c>
      <c r="C483" t="s">
        <v>323</v>
      </c>
      <c r="D483" t="s">
        <v>324</v>
      </c>
      <c r="E483" t="s">
        <v>16</v>
      </c>
      <c r="F483" t="s">
        <v>17</v>
      </c>
      <c r="G483">
        <v>5</v>
      </c>
      <c r="H483">
        <v>712.47</v>
      </c>
      <c r="I483">
        <v>3562.35</v>
      </c>
      <c r="J483">
        <v>0</v>
      </c>
      <c r="K483">
        <v>652.37</v>
      </c>
      <c r="L483" s="14">
        <f>sales_data[[#This Row],[Profit]]/sales_data[[#This Row],[Sales]]</f>
        <v>0.18312911420831754</v>
      </c>
      <c r="M483" t="s">
        <v>46</v>
      </c>
      <c r="N483" t="s">
        <v>36</v>
      </c>
    </row>
    <row r="484" spans="1:14" x14ac:dyDescent="0.25">
      <c r="A484" t="s">
        <v>766</v>
      </c>
      <c r="B484" s="1">
        <v>45687</v>
      </c>
      <c r="C484" t="s">
        <v>550</v>
      </c>
      <c r="D484" t="s">
        <v>551</v>
      </c>
      <c r="E484" t="s">
        <v>23</v>
      </c>
      <c r="F484" t="s">
        <v>24</v>
      </c>
      <c r="G484">
        <v>4</v>
      </c>
      <c r="H484">
        <v>20.18</v>
      </c>
      <c r="I484">
        <v>68.61</v>
      </c>
      <c r="J484">
        <v>0.15</v>
      </c>
      <c r="K484">
        <v>28.56</v>
      </c>
      <c r="L484" s="14">
        <f>sales_data[[#This Row],[Profit]]/sales_data[[#This Row],[Sales]]</f>
        <v>0.41626585045911674</v>
      </c>
      <c r="M484" t="s">
        <v>25</v>
      </c>
      <c r="N484" t="s">
        <v>19</v>
      </c>
    </row>
    <row r="485" spans="1:14" x14ac:dyDescent="0.25">
      <c r="A485" t="s">
        <v>767</v>
      </c>
      <c r="B485" s="1">
        <v>45751</v>
      </c>
      <c r="C485" t="s">
        <v>462</v>
      </c>
      <c r="D485" t="s">
        <v>463</v>
      </c>
      <c r="E485" t="s">
        <v>16</v>
      </c>
      <c r="F485" t="s">
        <v>40</v>
      </c>
      <c r="G485">
        <v>7</v>
      </c>
      <c r="H485">
        <v>1164.43</v>
      </c>
      <c r="I485">
        <v>7743.46</v>
      </c>
      <c r="J485">
        <v>0.05</v>
      </c>
      <c r="K485">
        <v>1545.4</v>
      </c>
      <c r="L485" s="14">
        <f>sales_data[[#This Row],[Profit]]/sales_data[[#This Row],[Sales]]</f>
        <v>0.19957486704909694</v>
      </c>
      <c r="M485" t="s">
        <v>18</v>
      </c>
      <c r="N485" t="s">
        <v>30</v>
      </c>
    </row>
    <row r="486" spans="1:14" x14ac:dyDescent="0.25">
      <c r="A486" t="s">
        <v>768</v>
      </c>
      <c r="B486" s="1">
        <v>45935</v>
      </c>
      <c r="C486" t="s">
        <v>147</v>
      </c>
      <c r="D486" t="s">
        <v>148</v>
      </c>
      <c r="E486" t="s">
        <v>16</v>
      </c>
      <c r="F486" t="s">
        <v>71</v>
      </c>
      <c r="G486">
        <v>5</v>
      </c>
      <c r="H486">
        <v>746.42</v>
      </c>
      <c r="I486">
        <v>3732.1</v>
      </c>
      <c r="J486">
        <v>0</v>
      </c>
      <c r="K486">
        <v>719.07</v>
      </c>
      <c r="L486" s="14">
        <f>sales_data[[#This Row],[Profit]]/sales_data[[#This Row],[Sales]]</f>
        <v>0.19267168618204231</v>
      </c>
      <c r="M486" t="s">
        <v>46</v>
      </c>
      <c r="N486" t="s">
        <v>47</v>
      </c>
    </row>
    <row r="487" spans="1:14" x14ac:dyDescent="0.25">
      <c r="A487" t="s">
        <v>769</v>
      </c>
      <c r="B487" s="1">
        <v>45679</v>
      </c>
      <c r="C487" t="s">
        <v>228</v>
      </c>
      <c r="D487" t="s">
        <v>229</v>
      </c>
      <c r="E487" t="s">
        <v>78</v>
      </c>
      <c r="F487" t="s">
        <v>255</v>
      </c>
      <c r="G487">
        <v>3</v>
      </c>
      <c r="H487">
        <v>68.34</v>
      </c>
      <c r="I487">
        <v>194.77</v>
      </c>
      <c r="J487">
        <v>0.05</v>
      </c>
      <c r="K487">
        <v>71.25</v>
      </c>
      <c r="L487" s="14">
        <f>sales_data[[#This Row],[Profit]]/sales_data[[#This Row],[Sales]]</f>
        <v>0.36581609077373312</v>
      </c>
      <c r="M487" t="s">
        <v>35</v>
      </c>
      <c r="N487" t="s">
        <v>47</v>
      </c>
    </row>
    <row r="488" spans="1:14" x14ac:dyDescent="0.25">
      <c r="A488" t="s">
        <v>770</v>
      </c>
      <c r="B488" s="1">
        <v>45735</v>
      </c>
      <c r="C488" t="s">
        <v>56</v>
      </c>
      <c r="D488" t="s">
        <v>57</v>
      </c>
      <c r="E488" t="s">
        <v>16</v>
      </c>
      <c r="F488" t="s">
        <v>71</v>
      </c>
      <c r="G488">
        <v>6</v>
      </c>
      <c r="H488">
        <v>689.68</v>
      </c>
      <c r="I488">
        <v>4138.08</v>
      </c>
      <c r="J488">
        <v>0</v>
      </c>
      <c r="K488">
        <v>851.67</v>
      </c>
      <c r="L488" s="14">
        <f>sales_data[[#This Row],[Profit]]/sales_data[[#This Row],[Sales]]</f>
        <v>0.20581284073773343</v>
      </c>
      <c r="M488" t="s">
        <v>18</v>
      </c>
      <c r="N488" t="s">
        <v>19</v>
      </c>
    </row>
    <row r="489" spans="1:14" x14ac:dyDescent="0.25">
      <c r="A489" t="s">
        <v>771</v>
      </c>
      <c r="B489" s="1">
        <v>45902</v>
      </c>
      <c r="C489" t="s">
        <v>253</v>
      </c>
      <c r="D489" t="s">
        <v>254</v>
      </c>
      <c r="E489" t="s">
        <v>44</v>
      </c>
      <c r="F489" t="s">
        <v>110</v>
      </c>
      <c r="G489">
        <v>3</v>
      </c>
      <c r="H489">
        <v>41.23</v>
      </c>
      <c r="I489">
        <v>111.32</v>
      </c>
      <c r="J489">
        <v>0.1</v>
      </c>
      <c r="K489">
        <v>34.25</v>
      </c>
      <c r="L489" s="14">
        <f>sales_data[[#This Row],[Profit]]/sales_data[[#This Row],[Sales]]</f>
        <v>0.3076715774344233</v>
      </c>
      <c r="M489" t="s">
        <v>18</v>
      </c>
      <c r="N489" t="s">
        <v>36</v>
      </c>
    </row>
    <row r="490" spans="1:14" x14ac:dyDescent="0.25">
      <c r="A490" t="s">
        <v>772</v>
      </c>
      <c r="B490" s="1">
        <v>45677</v>
      </c>
      <c r="C490" t="s">
        <v>248</v>
      </c>
      <c r="D490" t="s">
        <v>249</v>
      </c>
      <c r="E490" t="s">
        <v>23</v>
      </c>
      <c r="F490" t="s">
        <v>196</v>
      </c>
      <c r="G490">
        <v>6</v>
      </c>
      <c r="H490">
        <v>53.37</v>
      </c>
      <c r="I490">
        <v>288.2</v>
      </c>
      <c r="J490">
        <v>0.1</v>
      </c>
      <c r="K490">
        <v>123.94</v>
      </c>
      <c r="L490" s="14">
        <f>sales_data[[#This Row],[Profit]]/sales_data[[#This Row],[Sales]]</f>
        <v>0.43004857737682167</v>
      </c>
      <c r="M490" t="s">
        <v>35</v>
      </c>
      <c r="N490" t="s">
        <v>19</v>
      </c>
    </row>
    <row r="491" spans="1:14" x14ac:dyDescent="0.25">
      <c r="A491" t="s">
        <v>773</v>
      </c>
      <c r="B491" s="1">
        <v>45676</v>
      </c>
      <c r="C491" t="s">
        <v>152</v>
      </c>
      <c r="D491" t="s">
        <v>153</v>
      </c>
      <c r="E491" t="s">
        <v>16</v>
      </c>
      <c r="F491" t="s">
        <v>40</v>
      </c>
      <c r="G491">
        <v>3</v>
      </c>
      <c r="H491">
        <v>76.75</v>
      </c>
      <c r="I491">
        <v>207.22</v>
      </c>
      <c r="J491">
        <v>0.1</v>
      </c>
      <c r="K491">
        <v>39.49</v>
      </c>
      <c r="L491" s="14">
        <f>sales_data[[#This Row],[Profit]]/sales_data[[#This Row],[Sales]]</f>
        <v>0.19057040826175081</v>
      </c>
      <c r="M491" t="s">
        <v>25</v>
      </c>
      <c r="N491" t="s">
        <v>30</v>
      </c>
    </row>
    <row r="492" spans="1:14" x14ac:dyDescent="0.25">
      <c r="A492" t="s">
        <v>774</v>
      </c>
      <c r="B492" s="1">
        <v>45701</v>
      </c>
      <c r="C492" t="s">
        <v>775</v>
      </c>
      <c r="D492" t="s">
        <v>776</v>
      </c>
      <c r="E492" t="s">
        <v>23</v>
      </c>
      <c r="F492" t="s">
        <v>29</v>
      </c>
      <c r="G492">
        <v>5</v>
      </c>
      <c r="H492">
        <v>36.74</v>
      </c>
      <c r="I492">
        <v>156.13999999999999</v>
      </c>
      <c r="J492">
        <v>0.15</v>
      </c>
      <c r="K492">
        <v>64.19</v>
      </c>
      <c r="L492" s="14">
        <f>sales_data[[#This Row],[Profit]]/sales_data[[#This Row],[Sales]]</f>
        <v>0.41110541821442298</v>
      </c>
      <c r="M492" t="s">
        <v>18</v>
      </c>
      <c r="N492" t="s">
        <v>30</v>
      </c>
    </row>
    <row r="493" spans="1:14" x14ac:dyDescent="0.25">
      <c r="A493" t="s">
        <v>777</v>
      </c>
      <c r="B493" s="1">
        <v>45785</v>
      </c>
      <c r="C493" t="s">
        <v>66</v>
      </c>
      <c r="D493" t="s">
        <v>67</v>
      </c>
      <c r="E493" t="s">
        <v>44</v>
      </c>
      <c r="F493" t="s">
        <v>96</v>
      </c>
      <c r="G493">
        <v>5</v>
      </c>
      <c r="H493">
        <v>76.97</v>
      </c>
      <c r="I493">
        <v>365.61</v>
      </c>
      <c r="J493">
        <v>0.05</v>
      </c>
      <c r="K493">
        <v>111.35</v>
      </c>
      <c r="L493" s="14">
        <f>sales_data[[#This Row],[Profit]]/sales_data[[#This Row],[Sales]]</f>
        <v>0.30455950329586168</v>
      </c>
      <c r="M493" t="s">
        <v>18</v>
      </c>
      <c r="N493" t="s">
        <v>30</v>
      </c>
    </row>
    <row r="494" spans="1:14" x14ac:dyDescent="0.25">
      <c r="A494" t="s">
        <v>778</v>
      </c>
      <c r="B494" s="1">
        <v>46003</v>
      </c>
      <c r="C494" t="s">
        <v>402</v>
      </c>
      <c r="D494" t="s">
        <v>403</v>
      </c>
      <c r="E494" t="s">
        <v>78</v>
      </c>
      <c r="F494" t="s">
        <v>79</v>
      </c>
      <c r="G494">
        <v>5</v>
      </c>
      <c r="H494">
        <v>130.13999999999999</v>
      </c>
      <c r="I494">
        <v>650.70000000000005</v>
      </c>
      <c r="J494">
        <v>0</v>
      </c>
      <c r="K494">
        <v>247.57</v>
      </c>
      <c r="L494" s="14">
        <f>sales_data[[#This Row],[Profit]]/sales_data[[#This Row],[Sales]]</f>
        <v>0.38046718918088207</v>
      </c>
      <c r="M494" t="s">
        <v>18</v>
      </c>
      <c r="N494" t="s">
        <v>58</v>
      </c>
    </row>
    <row r="495" spans="1:14" x14ac:dyDescent="0.25">
      <c r="A495" t="s">
        <v>779</v>
      </c>
      <c r="B495" s="1">
        <v>45921</v>
      </c>
      <c r="C495" t="s">
        <v>294</v>
      </c>
      <c r="D495" t="s">
        <v>295</v>
      </c>
      <c r="E495" t="s">
        <v>16</v>
      </c>
      <c r="F495" t="s">
        <v>17</v>
      </c>
      <c r="G495">
        <v>4</v>
      </c>
      <c r="H495">
        <v>1101.79</v>
      </c>
      <c r="I495">
        <v>3966.44</v>
      </c>
      <c r="J495">
        <v>0.1</v>
      </c>
      <c r="K495">
        <v>758.01</v>
      </c>
      <c r="L495" s="14">
        <f>sales_data[[#This Row],[Profit]]/sales_data[[#This Row],[Sales]]</f>
        <v>0.19110587831909723</v>
      </c>
      <c r="M495" t="s">
        <v>18</v>
      </c>
      <c r="N495" t="s">
        <v>47</v>
      </c>
    </row>
    <row r="496" spans="1:14" x14ac:dyDescent="0.25">
      <c r="A496" t="s">
        <v>780</v>
      </c>
      <c r="B496" s="1">
        <v>45854</v>
      </c>
      <c r="C496" t="s">
        <v>715</v>
      </c>
      <c r="D496" t="s">
        <v>716</v>
      </c>
      <c r="E496" t="s">
        <v>16</v>
      </c>
      <c r="F496" t="s">
        <v>89</v>
      </c>
      <c r="G496">
        <v>5</v>
      </c>
      <c r="H496">
        <v>492.92</v>
      </c>
      <c r="I496">
        <v>2341.37</v>
      </c>
      <c r="J496">
        <v>0.05</v>
      </c>
      <c r="K496">
        <v>428.92</v>
      </c>
      <c r="L496" s="14">
        <f>sales_data[[#This Row],[Profit]]/sales_data[[#This Row],[Sales]]</f>
        <v>0.18319189192652166</v>
      </c>
      <c r="M496" t="s">
        <v>18</v>
      </c>
      <c r="N496" t="s">
        <v>19</v>
      </c>
    </row>
    <row r="497" spans="1:14" x14ac:dyDescent="0.25">
      <c r="A497" t="s">
        <v>781</v>
      </c>
      <c r="B497" s="1">
        <v>45765</v>
      </c>
      <c r="C497" t="s">
        <v>299</v>
      </c>
      <c r="D497" t="s">
        <v>300</v>
      </c>
      <c r="E497" t="s">
        <v>16</v>
      </c>
      <c r="F497" t="s">
        <v>89</v>
      </c>
      <c r="G497">
        <v>5</v>
      </c>
      <c r="H497">
        <v>1100.2</v>
      </c>
      <c r="I497">
        <v>5501</v>
      </c>
      <c r="J497">
        <v>0</v>
      </c>
      <c r="K497">
        <v>1015.89</v>
      </c>
      <c r="L497" s="14">
        <f>sales_data[[#This Row],[Profit]]/sales_data[[#This Row],[Sales]]</f>
        <v>0.18467369569169242</v>
      </c>
      <c r="M497" t="s">
        <v>25</v>
      </c>
      <c r="N497" t="s">
        <v>47</v>
      </c>
    </row>
    <row r="498" spans="1:14" x14ac:dyDescent="0.25">
      <c r="A498" t="s">
        <v>782</v>
      </c>
      <c r="B498" s="1">
        <v>45859</v>
      </c>
      <c r="C498" t="s">
        <v>338</v>
      </c>
      <c r="D498" t="s">
        <v>339</v>
      </c>
      <c r="E498" t="s">
        <v>44</v>
      </c>
      <c r="F498" t="s">
        <v>51</v>
      </c>
      <c r="G498">
        <v>6</v>
      </c>
      <c r="H498">
        <v>247.89</v>
      </c>
      <c r="I498">
        <v>1487.34</v>
      </c>
      <c r="J498">
        <v>0</v>
      </c>
      <c r="K498">
        <v>448.94</v>
      </c>
      <c r="L498" s="14">
        <f>sales_data[[#This Row],[Profit]]/sales_data[[#This Row],[Sales]]</f>
        <v>0.30184087027848377</v>
      </c>
      <c r="M498" t="s">
        <v>18</v>
      </c>
      <c r="N498" t="s">
        <v>58</v>
      </c>
    </row>
    <row r="499" spans="1:14" x14ac:dyDescent="0.25">
      <c r="A499" t="s">
        <v>783</v>
      </c>
      <c r="B499" s="1">
        <v>45994</v>
      </c>
      <c r="C499" t="s">
        <v>386</v>
      </c>
      <c r="D499" t="s">
        <v>387</v>
      </c>
      <c r="E499" t="s">
        <v>78</v>
      </c>
      <c r="F499" t="s">
        <v>79</v>
      </c>
      <c r="G499">
        <v>3</v>
      </c>
      <c r="H499">
        <v>67.48</v>
      </c>
      <c r="I499">
        <v>182.2</v>
      </c>
      <c r="J499">
        <v>0.1</v>
      </c>
      <c r="K499">
        <v>66.66</v>
      </c>
      <c r="L499" s="14">
        <f>sales_data[[#This Row],[Profit]]/sales_data[[#This Row],[Sales]]</f>
        <v>0.3658616904500549</v>
      </c>
      <c r="M499" t="s">
        <v>46</v>
      </c>
      <c r="N499" t="s">
        <v>36</v>
      </c>
    </row>
    <row r="500" spans="1:14" x14ac:dyDescent="0.25">
      <c r="A500" t="s">
        <v>784</v>
      </c>
      <c r="B500" s="1">
        <v>45908</v>
      </c>
      <c r="C500" t="s">
        <v>643</v>
      </c>
      <c r="D500" t="s">
        <v>644</v>
      </c>
      <c r="E500" t="s">
        <v>44</v>
      </c>
      <c r="F500" t="s">
        <v>127</v>
      </c>
      <c r="G500">
        <v>3</v>
      </c>
      <c r="H500">
        <v>698.41</v>
      </c>
      <c r="I500">
        <v>2095.23</v>
      </c>
      <c r="J500">
        <v>0</v>
      </c>
      <c r="K500">
        <v>620.63</v>
      </c>
      <c r="L500" s="14">
        <f>sales_data[[#This Row],[Profit]]/sales_data[[#This Row],[Sales]]</f>
        <v>0.29621091717854364</v>
      </c>
      <c r="M500" t="s">
        <v>46</v>
      </c>
      <c r="N500" t="s">
        <v>36</v>
      </c>
    </row>
    <row r="501" spans="1:14" x14ac:dyDescent="0.25">
      <c r="A501" t="s">
        <v>785</v>
      </c>
      <c r="B501" s="1">
        <v>45936</v>
      </c>
      <c r="C501" t="s">
        <v>289</v>
      </c>
      <c r="D501" t="s">
        <v>290</v>
      </c>
      <c r="E501" t="s">
        <v>16</v>
      </c>
      <c r="F501" t="s">
        <v>71</v>
      </c>
      <c r="G501">
        <v>3</v>
      </c>
      <c r="H501">
        <v>1067.3699999999999</v>
      </c>
      <c r="I501">
        <v>3042</v>
      </c>
      <c r="J501">
        <v>0.05</v>
      </c>
      <c r="K501">
        <v>593.47</v>
      </c>
      <c r="L501" s="14">
        <f>sales_data[[#This Row],[Profit]]/sales_data[[#This Row],[Sales]]</f>
        <v>0.19509204470742933</v>
      </c>
      <c r="M501" t="s">
        <v>18</v>
      </c>
      <c r="N50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03F73B-FDCB-4C7A-8776-E583EAEDC6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by Category</vt:lpstr>
      <vt:lpstr>Profit by Region</vt:lpstr>
      <vt:lpstr>Sales by Payment Method</vt:lpstr>
      <vt:lpstr>Dashboard</vt:lpstr>
      <vt:lpstr>Monthly Sales Trend</vt:lpstr>
      <vt:lpstr>Top 10 Products by Sales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2026-08-22T06:06:09Z</dcterms:created>
  <dcterms:modified xsi:type="dcterms:W3CDTF">2026-08-23T06:11:58Z</dcterms:modified>
</cp:coreProperties>
</file>